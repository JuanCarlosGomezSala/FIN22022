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licante-my.sharepoint.com/personal/gsala_mscloud_ua_es/Documents/CLASES_2021_22/"/>
    </mc:Choice>
  </mc:AlternateContent>
  <xr:revisionPtr revIDLastSave="561" documentId="8_{411266B2-E9F2-407A-9E9C-1FD9E93CAA7C}" xr6:coauthVersionLast="47" xr6:coauthVersionMax="47" xr10:uidLastSave="{03A90AE6-9A45-4B17-A6CA-E2F82A8CB307}"/>
  <bookViews>
    <workbookView xWindow="-108" yWindow="-108" windowWidth="23256" windowHeight="12576" xr2:uid="{CA20A628-6FA1-40C9-9B8D-F01FDC76E65C}"/>
  </bookViews>
  <sheets>
    <sheet name="Full1" sheetId="1" r:id="rId1"/>
  </sheets>
  <definedNames>
    <definedName name="_xlchart.v1.0" hidden="1">Full1!$D$13</definedName>
    <definedName name="_xlchart.v1.1" hidden="1">Full1!$D$18</definedName>
    <definedName name="_xlchart.v1.10" hidden="1">Full1!$F$37:$F$161</definedName>
    <definedName name="_xlchart.v1.11" hidden="1">Full1!$G$13</definedName>
    <definedName name="_xlchart.v1.12" hidden="1">Full1!$G$18</definedName>
    <definedName name="_xlchart.v1.13" hidden="1">Full1!$G$20</definedName>
    <definedName name="_xlchart.v1.14" hidden="1">Full1!$G$31</definedName>
    <definedName name="_xlchart.v1.15" hidden="1">Full1!$G$33</definedName>
    <definedName name="_xlchart.v1.16" hidden="1">Full1!$G$37:$G$161</definedName>
    <definedName name="_xlchart.v1.17" hidden="1">Full1!$H$13</definedName>
    <definedName name="_xlchart.v1.18" hidden="1">Full1!$H$18</definedName>
    <definedName name="_xlchart.v1.19" hidden="1">Full1!$H$20</definedName>
    <definedName name="_xlchart.v1.2" hidden="1">Full1!$D$20</definedName>
    <definedName name="_xlchart.v1.3" hidden="1">Full1!$E$18</definedName>
    <definedName name="_xlchart.v1.4" hidden="1">Full1!$E$20</definedName>
    <definedName name="_xlchart.v1.5" hidden="1">Full1!$E$37:$E$161</definedName>
    <definedName name="_xlchart.v1.6" hidden="1">Full1!$F$18</definedName>
    <definedName name="_xlchart.v1.7" hidden="1">Full1!$F$20</definedName>
    <definedName name="_xlchart.v1.8" hidden="1">Full1!$F$31</definedName>
    <definedName name="_xlchart.v1.9" hidden="1">Full1!$F$33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J17" i="1" a="1"/>
  <c r="J17" i="1" s="1"/>
  <c r="M15" i="1"/>
  <c r="M16" i="1"/>
  <c r="M14" i="1"/>
  <c r="J14" i="1" a="1"/>
  <c r="J14" i="1" s="1"/>
  <c r="G31" i="1" a="1"/>
  <c r="G31" i="1" s="1"/>
  <c r="G32" i="1" s="1"/>
  <c r="G33" i="1" s="1"/>
  <c r="F31" i="1" a="1"/>
  <c r="F31" i="1" s="1"/>
  <c r="E18" i="1" a="1"/>
  <c r="E18" i="1" s="1"/>
  <c r="F18" i="1" a="1"/>
  <c r="F18" i="1" s="1"/>
  <c r="G18" i="1" a="1"/>
  <c r="G18" i="1"/>
  <c r="D18" i="1" a="1"/>
  <c r="D18" i="1" s="1"/>
  <c r="C18" i="1" a="1"/>
  <c r="C18" i="1" s="1"/>
  <c r="B18" i="1" a="1"/>
  <c r="B18" i="1" s="1"/>
  <c r="G30" i="1"/>
  <c r="G27" i="1" a="1"/>
  <c r="G29" i="1" s="1"/>
  <c r="G27" i="1"/>
  <c r="G28" i="1"/>
  <c r="H27" i="1" a="1"/>
  <c r="F27" i="1" a="1"/>
  <c r="H14" i="1" a="1"/>
  <c r="G14" i="1" a="1"/>
  <c r="G16" i="1" s="1"/>
  <c r="D14" i="1" a="1"/>
  <c r="D15" i="1" s="1"/>
  <c r="C14" i="1" a="1"/>
  <c r="C14" i="1" s="1"/>
  <c r="B14" i="1" a="1"/>
  <c r="B14" i="1" s="1"/>
  <c r="G24" i="1"/>
  <c r="G25" i="1"/>
  <c r="G23" i="1"/>
  <c r="D11" i="1"/>
  <c r="D12" i="1"/>
  <c r="H4" i="1" a="1"/>
  <c r="H5" i="1" s="1"/>
  <c r="K15" i="1" l="1"/>
  <c r="L15" i="1" s="1"/>
  <c r="O15" i="1" s="1"/>
  <c r="K16" i="1"/>
  <c r="N16" i="1" s="1"/>
  <c r="K14" i="1"/>
  <c r="L14" i="1" s="1"/>
  <c r="O14" i="1" s="1"/>
  <c r="N14" i="1"/>
  <c r="L16" i="1"/>
  <c r="O16" i="1" s="1"/>
  <c r="N15" i="1"/>
  <c r="J16" i="1"/>
  <c r="J15" i="1"/>
  <c r="G14" i="1"/>
  <c r="G15" i="1"/>
  <c r="D16" i="1"/>
  <c r="D14" i="1"/>
  <c r="C16" i="1"/>
  <c r="C15" i="1"/>
  <c r="B16" i="1"/>
  <c r="B15" i="1"/>
  <c r="K5" i="1"/>
  <c r="J4" i="1"/>
  <c r="I4" i="1"/>
  <c r="H4" i="1"/>
  <c r="J6" i="1"/>
  <c r="I6" i="1"/>
  <c r="H6" i="1"/>
  <c r="J5" i="1"/>
  <c r="I5" i="1"/>
  <c r="N17" i="1" l="1"/>
  <c r="D19" i="1"/>
  <c r="D20" i="1" s="1"/>
  <c r="D17" i="1"/>
  <c r="L4" i="1" a="1"/>
  <c r="K4" i="1"/>
  <c r="K6" i="1"/>
  <c r="D44" i="1"/>
  <c r="E130" i="1" a="1"/>
  <c r="E130" i="1" s="1"/>
  <c r="F125" i="1" a="1"/>
  <c r="F125" i="1" s="1"/>
  <c r="G125" i="1" s="1"/>
  <c r="E51" i="1" a="1"/>
  <c r="E51" i="1" s="1"/>
  <c r="D101" i="1"/>
  <c r="E139" i="1" a="1"/>
  <c r="E139" i="1" s="1"/>
  <c r="F147" i="1" a="1"/>
  <c r="F147" i="1" s="1"/>
  <c r="G147" i="1" s="1"/>
  <c r="F129" i="1" a="1"/>
  <c r="F129" i="1" s="1"/>
  <c r="G129" i="1" s="1"/>
  <c r="D103" i="1"/>
  <c r="D157" i="1"/>
  <c r="E131" i="1" a="1"/>
  <c r="E131" i="1" s="1"/>
  <c r="E149" i="1" a="1"/>
  <c r="E149" i="1" s="1"/>
  <c r="E105" i="1" a="1"/>
  <c r="E105" i="1" s="1"/>
  <c r="E150" i="1" a="1"/>
  <c r="E150" i="1" s="1"/>
  <c r="E138" i="1" a="1"/>
  <c r="E138" i="1" s="1"/>
  <c r="E160" i="1" a="1"/>
  <c r="E160" i="1" s="1"/>
  <c r="E93" i="1" a="1"/>
  <c r="E93" i="1" s="1"/>
  <c r="D87" i="1"/>
  <c r="D39" i="1"/>
  <c r="E58" i="1" a="1"/>
  <c r="E58" i="1" s="1"/>
  <c r="E43" i="1" a="1"/>
  <c r="E43" i="1" s="1"/>
  <c r="D109" i="1"/>
  <c r="D88" i="1"/>
  <c r="D121" i="1"/>
  <c r="D98" i="1"/>
  <c r="D90" i="1"/>
  <c r="D120" i="1"/>
  <c r="D66" i="1"/>
  <c r="D161" i="1"/>
  <c r="D56" i="1"/>
  <c r="D112" i="1"/>
  <c r="D99" i="1"/>
  <c r="D38" i="1"/>
  <c r="D64" i="1"/>
  <c r="D116" i="1"/>
  <c r="E84" i="1" a="1"/>
  <c r="E84" i="1" s="1"/>
  <c r="D89" i="1"/>
  <c r="D124" i="1"/>
  <c r="D86" i="1"/>
  <c r="D72" i="1"/>
  <c r="D48" i="1"/>
  <c r="D106" i="1"/>
  <c r="E141" i="1" a="1"/>
  <c r="E141" i="1" s="1"/>
  <c r="D68" i="1"/>
  <c r="E127" i="1" a="1"/>
  <c r="E127" i="1" s="1"/>
  <c r="E57" i="1" a="1"/>
  <c r="E57" i="1" s="1"/>
  <c r="D83" i="1"/>
  <c r="D78" i="1"/>
  <c r="E82" i="1" a="1"/>
  <c r="E82" i="1" s="1"/>
  <c r="D71" i="1"/>
  <c r="D132" i="1"/>
  <c r="D135" i="1"/>
  <c r="E114" i="1" a="1"/>
  <c r="E114" i="1" s="1"/>
  <c r="D59" i="1"/>
  <c r="D95" i="1"/>
  <c r="D76" i="1"/>
  <c r="F40" i="1" a="1"/>
  <c r="F40" i="1" s="1"/>
  <c r="G40" i="1" s="1"/>
  <c r="E92" i="1" a="1"/>
  <c r="E92" i="1" s="1"/>
  <c r="D113" i="1"/>
  <c r="D91" i="1"/>
  <c r="E53" i="1" a="1"/>
  <c r="E53" i="1" s="1"/>
  <c r="D122" i="1"/>
  <c r="D104" i="1"/>
  <c r="D145" i="1"/>
  <c r="E107" i="1" a="1"/>
  <c r="E107" i="1" s="1"/>
  <c r="D123" i="1"/>
  <c r="D142" i="1"/>
  <c r="D137" i="1"/>
  <c r="E119" i="1" a="1"/>
  <c r="E119" i="1" s="1"/>
  <c r="D62" i="1"/>
  <c r="D46" i="1"/>
  <c r="D115" i="1"/>
  <c r="E96" i="1" a="1"/>
  <c r="E96" i="1" s="1"/>
  <c r="D42" i="1"/>
  <c r="D54" i="1"/>
  <c r="D49" i="1"/>
  <c r="E156" i="1" a="1"/>
  <c r="E156" i="1" s="1"/>
  <c r="D136" i="1"/>
  <c r="D126" i="1"/>
  <c r="D77" i="1"/>
  <c r="E65" i="1" a="1"/>
  <c r="E65" i="1" s="1"/>
  <c r="E143" i="1" a="1"/>
  <c r="E143" i="1" s="1"/>
  <c r="D79" i="1"/>
  <c r="D100" i="1"/>
  <c r="E111" i="1" a="1"/>
  <c r="E111" i="1" s="1"/>
  <c r="D140" i="1"/>
  <c r="D159" i="1"/>
  <c r="D70" i="1"/>
  <c r="E41" i="1" a="1"/>
  <c r="E41" i="1" s="1"/>
  <c r="E81" i="1" a="1"/>
  <c r="E81" i="1" s="1"/>
  <c r="D155" i="1"/>
  <c r="D60" i="1"/>
  <c r="E37" i="1" a="1"/>
  <c r="E37" i="1" s="1"/>
  <c r="E61" i="1" a="1"/>
  <c r="E61" i="1" s="1"/>
  <c r="D80" i="1"/>
  <c r="D67" i="1"/>
  <c r="E146" i="1" a="1"/>
  <c r="E146" i="1" s="1"/>
  <c r="E154" i="1" a="1"/>
  <c r="E154" i="1" s="1"/>
  <c r="D55" i="1"/>
  <c r="E69" i="1" a="1"/>
  <c r="E69" i="1" s="1"/>
  <c r="E94" i="1" a="1"/>
  <c r="E94" i="1" s="1"/>
  <c r="E134" i="1" a="1"/>
  <c r="E134" i="1" s="1"/>
  <c r="D133" i="1"/>
  <c r="D118" i="1"/>
  <c r="E144" i="1" a="1"/>
  <c r="E144" i="1" s="1"/>
  <c r="D97" i="1"/>
  <c r="D158" i="1"/>
  <c r="D85" i="1"/>
  <c r="E152" i="1" a="1"/>
  <c r="E152" i="1" s="1"/>
  <c r="D151" i="1"/>
  <c r="D45" i="1"/>
  <c r="D74" i="1"/>
  <c r="D117" i="1"/>
  <c r="D148" i="1"/>
  <c r="E153" i="1" a="1"/>
  <c r="E153" i="1" s="1"/>
  <c r="E108" i="1" a="1"/>
  <c r="E108" i="1" s="1"/>
  <c r="D102" i="1"/>
  <c r="D47" i="1"/>
  <c r="D75" i="1"/>
  <c r="D50" i="1"/>
  <c r="D63" i="1"/>
  <c r="D128" i="1"/>
  <c r="D73" i="1"/>
  <c r="D52" i="1"/>
  <c r="D110" i="1"/>
  <c r="O17" i="1" l="1"/>
  <c r="N4" i="1"/>
  <c r="E14" i="1" s="1"/>
  <c r="E16" i="1"/>
  <c r="L5" i="1"/>
  <c r="L6" i="1"/>
  <c r="L4" i="1"/>
  <c r="D141" i="1"/>
  <c r="D149" i="1"/>
  <c r="D138" i="1"/>
  <c r="D43" i="1"/>
  <c r="D131" i="1"/>
  <c r="E103" i="1" a="1"/>
  <c r="E103" i="1" s="1"/>
  <c r="E125" i="1" a="1"/>
  <c r="E125" i="1" s="1"/>
  <c r="D107" i="1"/>
  <c r="D130" i="1"/>
  <c r="D139" i="1"/>
  <c r="D61" i="1"/>
  <c r="D111" i="1"/>
  <c r="D150" i="1"/>
  <c r="D147" i="1"/>
  <c r="D119" i="1"/>
  <c r="D96" i="1"/>
  <c r="D92" i="1"/>
  <c r="D57" i="1"/>
  <c r="D153" i="1"/>
  <c r="D125" i="1"/>
  <c r="E147" i="1" a="1"/>
  <c r="E147" i="1" s="1"/>
  <c r="F155" i="1" a="1"/>
  <c r="F155" i="1" s="1"/>
  <c r="G155" i="1" s="1"/>
  <c r="D105" i="1"/>
  <c r="D40" i="1"/>
  <c r="D65" i="1"/>
  <c r="F54" i="1" a="1"/>
  <c r="F54" i="1" s="1"/>
  <c r="G54" i="1" s="1"/>
  <c r="D82" i="1"/>
  <c r="D127" i="1"/>
  <c r="F87" i="1" a="1"/>
  <c r="F87" i="1" s="1"/>
  <c r="G87" i="1" s="1"/>
  <c r="D53" i="1"/>
  <c r="D114" i="1"/>
  <c r="D156" i="1"/>
  <c r="F82" i="1" a="1"/>
  <c r="F82" i="1" s="1"/>
  <c r="G82" i="1" s="1"/>
  <c r="D94" i="1"/>
  <c r="D37" i="1"/>
  <c r="F133" i="1" a="1"/>
  <c r="F133" i="1" s="1"/>
  <c r="G133" i="1" s="1"/>
  <c r="F159" i="1" a="1"/>
  <c r="F159" i="1" s="1"/>
  <c r="G159" i="1" s="1"/>
  <c r="F46" i="1" a="1"/>
  <c r="F46" i="1" s="1"/>
  <c r="G46" i="1" s="1"/>
  <c r="F150" i="1" a="1"/>
  <c r="F150" i="1" s="1"/>
  <c r="G150" i="1" s="1"/>
  <c r="F127" i="1" a="1"/>
  <c r="F127" i="1" s="1"/>
  <c r="G127" i="1" s="1"/>
  <c r="F117" i="1" a="1"/>
  <c r="F117" i="1" s="1"/>
  <c r="G117" i="1" s="1"/>
  <c r="D129" i="1"/>
  <c r="D51" i="1"/>
  <c r="F55" i="1" a="1"/>
  <c r="F55" i="1" s="1"/>
  <c r="G55" i="1" s="1"/>
  <c r="F79" i="1" a="1"/>
  <c r="F79" i="1" s="1"/>
  <c r="G79" i="1" s="1"/>
  <c r="F90" i="1" a="1"/>
  <c r="F90" i="1" s="1"/>
  <c r="G90" i="1" s="1"/>
  <c r="F123" i="1" a="1"/>
  <c r="F123" i="1" s="1"/>
  <c r="G123" i="1" s="1"/>
  <c r="E129" i="1" a="1"/>
  <c r="E129" i="1" s="1"/>
  <c r="F80" i="1" a="1"/>
  <c r="F80" i="1" s="1"/>
  <c r="G80" i="1" s="1"/>
  <c r="F126" i="1" a="1"/>
  <c r="F126" i="1" s="1"/>
  <c r="G126" i="1" s="1"/>
  <c r="F112" i="1" a="1"/>
  <c r="F112" i="1" s="1"/>
  <c r="G112" i="1" s="1"/>
  <c r="F53" i="1" a="1"/>
  <c r="F53" i="1" s="1"/>
  <c r="G53" i="1" s="1"/>
  <c r="F131" i="1" a="1"/>
  <c r="F131" i="1" s="1"/>
  <c r="G131" i="1" s="1"/>
  <c r="F121" i="1" a="1"/>
  <c r="F121" i="1" s="1"/>
  <c r="G121" i="1" s="1"/>
  <c r="F102" i="1" a="1"/>
  <c r="F102" i="1" s="1"/>
  <c r="G102" i="1" s="1"/>
  <c r="F52" i="1" a="1"/>
  <c r="F52" i="1" s="1"/>
  <c r="G52" i="1" s="1"/>
  <c r="F72" i="1" a="1"/>
  <c r="F72" i="1" s="1"/>
  <c r="G72" i="1" s="1"/>
  <c r="F135" i="1" a="1"/>
  <c r="F135" i="1" s="1"/>
  <c r="G135" i="1" s="1"/>
  <c r="F148" i="1" a="1"/>
  <c r="F148" i="1" s="1"/>
  <c r="G148" i="1" s="1"/>
  <c r="F130" i="1" a="1"/>
  <c r="F130" i="1" s="1"/>
  <c r="G130" i="1" s="1"/>
  <c r="F76" i="1" a="1"/>
  <c r="F76" i="1" s="1"/>
  <c r="G76" i="1" s="1"/>
  <c r="F84" i="1" a="1"/>
  <c r="F84" i="1" s="1"/>
  <c r="G84" i="1" s="1"/>
  <c r="F50" i="1" a="1"/>
  <c r="F50" i="1" s="1"/>
  <c r="G50" i="1" s="1"/>
  <c r="F137" i="1" a="1"/>
  <c r="F137" i="1" s="1"/>
  <c r="G137" i="1" s="1"/>
  <c r="D152" i="1"/>
  <c r="D41" i="1"/>
  <c r="E80" i="1" a="1"/>
  <c r="E80" i="1" s="1"/>
  <c r="E40" i="1" a="1"/>
  <c r="E40" i="1" s="1"/>
  <c r="F97" i="1" a="1"/>
  <c r="F97" i="1" s="1"/>
  <c r="G97" i="1" s="1"/>
  <c r="F134" i="1" a="1"/>
  <c r="F134" i="1" s="1"/>
  <c r="G134" i="1" s="1"/>
  <c r="F154" i="1" a="1"/>
  <c r="F154" i="1" s="1"/>
  <c r="G154" i="1" s="1"/>
  <c r="F61" i="1" a="1"/>
  <c r="F61" i="1" s="1"/>
  <c r="G61" i="1" s="1"/>
  <c r="F81" i="1" a="1"/>
  <c r="F81" i="1" s="1"/>
  <c r="G81" i="1" s="1"/>
  <c r="F140" i="1" a="1"/>
  <c r="F140" i="1" s="1"/>
  <c r="G140" i="1" s="1"/>
  <c r="F143" i="1" a="1"/>
  <c r="F143" i="1" s="1"/>
  <c r="G143" i="1" s="1"/>
  <c r="F136" i="1" a="1"/>
  <c r="F136" i="1" s="1"/>
  <c r="G136" i="1" s="1"/>
  <c r="F42" i="1" a="1"/>
  <c r="F42" i="1" s="1"/>
  <c r="G42" i="1" s="1"/>
  <c r="F62" i="1" a="1"/>
  <c r="F62" i="1" s="1"/>
  <c r="G62" i="1" s="1"/>
  <c r="F73" i="1" a="1"/>
  <c r="F73" i="1" s="1"/>
  <c r="G73" i="1" s="1"/>
  <c r="F44" i="1" a="1"/>
  <c r="F44" i="1" s="1"/>
  <c r="G44" i="1" s="1"/>
  <c r="F85" i="1" a="1"/>
  <c r="F85" i="1" s="1"/>
  <c r="G85" i="1" s="1"/>
  <c r="F91" i="1" a="1"/>
  <c r="F91" i="1" s="1"/>
  <c r="G91" i="1" s="1"/>
  <c r="F95" i="1" a="1"/>
  <c r="F95" i="1" s="1"/>
  <c r="G95" i="1" s="1"/>
  <c r="F132" i="1" a="1"/>
  <c r="F132" i="1" s="1"/>
  <c r="G132" i="1" s="1"/>
  <c r="F56" i="1" a="1"/>
  <c r="F56" i="1" s="1"/>
  <c r="G56" i="1" s="1"/>
  <c r="F43" i="1" a="1"/>
  <c r="F43" i="1" s="1"/>
  <c r="G43" i="1" s="1"/>
  <c r="F105" i="1" a="1"/>
  <c r="F105" i="1" s="1"/>
  <c r="G105" i="1" s="1"/>
  <c r="F47" i="1" a="1"/>
  <c r="F47" i="1" s="1"/>
  <c r="G47" i="1" s="1"/>
  <c r="F141" i="1" a="1"/>
  <c r="F141" i="1" s="1"/>
  <c r="G141" i="1" s="1"/>
  <c r="F113" i="1" a="1"/>
  <c r="F113" i="1" s="1"/>
  <c r="G113" i="1" s="1"/>
  <c r="F86" i="1" a="1"/>
  <c r="F86" i="1" s="1"/>
  <c r="G86" i="1" s="1"/>
  <c r="F116" i="1" a="1"/>
  <c r="F116" i="1" s="1"/>
  <c r="G116" i="1" s="1"/>
  <c r="F78" i="1" a="1"/>
  <c r="F78" i="1" s="1"/>
  <c r="G78" i="1" s="1"/>
  <c r="F109" i="1" a="1"/>
  <c r="F109" i="1" s="1"/>
  <c r="G109" i="1" s="1"/>
  <c r="F157" i="1" a="1"/>
  <c r="F157" i="1" s="1"/>
  <c r="G157" i="1" s="1"/>
  <c r="F139" i="1" a="1"/>
  <c r="F139" i="1" s="1"/>
  <c r="G139" i="1" s="1"/>
  <c r="F151" i="1" a="1"/>
  <c r="F151" i="1" s="1"/>
  <c r="G151" i="1" s="1"/>
  <c r="F107" i="1" a="1"/>
  <c r="F107" i="1" s="1"/>
  <c r="G107" i="1" s="1"/>
  <c r="E157" i="1" a="1"/>
  <c r="E157" i="1" s="1"/>
  <c r="E126" i="1" a="1"/>
  <c r="E126" i="1" s="1"/>
  <c r="E89" i="1" a="1"/>
  <c r="E89" i="1" s="1"/>
  <c r="F144" i="1" a="1"/>
  <c r="F144" i="1" s="1"/>
  <c r="G144" i="1" s="1"/>
  <c r="F94" i="1" a="1"/>
  <c r="F94" i="1" s="1"/>
  <c r="G94" i="1" s="1"/>
  <c r="F146" i="1" a="1"/>
  <c r="F146" i="1" s="1"/>
  <c r="G146" i="1" s="1"/>
  <c r="F37" i="1" a="1"/>
  <c r="F37" i="1" s="1"/>
  <c r="G37" i="1" s="1"/>
  <c r="F41" i="1" a="1"/>
  <c r="F41" i="1" s="1"/>
  <c r="G41" i="1" s="1"/>
  <c r="F111" i="1" a="1"/>
  <c r="F111" i="1" s="1"/>
  <c r="G111" i="1" s="1"/>
  <c r="F65" i="1" a="1"/>
  <c r="F65" i="1" s="1"/>
  <c r="G65" i="1" s="1"/>
  <c r="F156" i="1" a="1"/>
  <c r="F156" i="1" s="1"/>
  <c r="G156" i="1" s="1"/>
  <c r="F96" i="1" a="1"/>
  <c r="F96" i="1" s="1"/>
  <c r="G96" i="1" s="1"/>
  <c r="F88" i="1" a="1"/>
  <c r="F88" i="1" s="1"/>
  <c r="G88" i="1" s="1"/>
  <c r="F128" i="1" a="1"/>
  <c r="F128" i="1" s="1"/>
  <c r="G128" i="1" s="1"/>
  <c r="F75" i="1" a="1"/>
  <c r="F75" i="1" s="1"/>
  <c r="G75" i="1" s="1"/>
  <c r="F158" i="1" a="1"/>
  <c r="F158" i="1" s="1"/>
  <c r="G158" i="1" s="1"/>
  <c r="F106" i="1" a="1"/>
  <c r="F106" i="1" s="1"/>
  <c r="G106" i="1" s="1"/>
  <c r="F59" i="1" a="1"/>
  <c r="F59" i="1" s="1"/>
  <c r="G59" i="1" s="1"/>
  <c r="F71" i="1" a="1"/>
  <c r="F71" i="1" s="1"/>
  <c r="G71" i="1" s="1"/>
  <c r="F83" i="1" a="1"/>
  <c r="F83" i="1" s="1"/>
  <c r="G83" i="1" s="1"/>
  <c r="F110" i="1" a="1"/>
  <c r="F110" i="1" s="1"/>
  <c r="G110" i="1" s="1"/>
  <c r="F160" i="1" a="1"/>
  <c r="F160" i="1" s="1"/>
  <c r="G160" i="1" s="1"/>
  <c r="F149" i="1" a="1"/>
  <c r="F149" i="1" s="1"/>
  <c r="G149" i="1" s="1"/>
  <c r="F108" i="1" a="1"/>
  <c r="F108" i="1" s="1"/>
  <c r="G108" i="1" s="1"/>
  <c r="F104" i="1" a="1"/>
  <c r="F104" i="1" s="1"/>
  <c r="G104" i="1" s="1"/>
  <c r="F92" i="1" a="1"/>
  <c r="F92" i="1" s="1"/>
  <c r="G92" i="1" s="1"/>
  <c r="F124" i="1" a="1"/>
  <c r="F124" i="1" s="1"/>
  <c r="G124" i="1" s="1"/>
  <c r="F64" i="1" a="1"/>
  <c r="F64" i="1" s="1"/>
  <c r="G64" i="1" s="1"/>
  <c r="F161" i="1" a="1"/>
  <c r="F161" i="1" s="1"/>
  <c r="G161" i="1" s="1"/>
  <c r="F39" i="1" a="1"/>
  <c r="F39" i="1" s="1"/>
  <c r="G39" i="1" s="1"/>
  <c r="F103" i="1" a="1"/>
  <c r="F103" i="1" s="1"/>
  <c r="G103" i="1" s="1"/>
  <c r="F101" i="1" a="1"/>
  <c r="F101" i="1" s="1"/>
  <c r="G101" i="1" s="1"/>
  <c r="F152" i="1" a="1"/>
  <c r="F152" i="1" s="1"/>
  <c r="G152" i="1" s="1"/>
  <c r="F145" i="1" a="1"/>
  <c r="F145" i="1" s="1"/>
  <c r="G145" i="1" s="1"/>
  <c r="E46" i="1" a="1"/>
  <c r="E46" i="1" s="1"/>
  <c r="E38" i="1" a="1"/>
  <c r="E38" i="1" s="1"/>
  <c r="F118" i="1" a="1"/>
  <c r="F118" i="1" s="1"/>
  <c r="G118" i="1" s="1"/>
  <c r="F69" i="1" a="1"/>
  <c r="F69" i="1" s="1"/>
  <c r="G69" i="1" s="1"/>
  <c r="F67" i="1" a="1"/>
  <c r="F67" i="1" s="1"/>
  <c r="G67" i="1" s="1"/>
  <c r="F60" i="1" a="1"/>
  <c r="F60" i="1" s="1"/>
  <c r="G60" i="1" s="1"/>
  <c r="F70" i="1" a="1"/>
  <c r="F70" i="1" s="1"/>
  <c r="G70" i="1" s="1"/>
  <c r="F100" i="1" a="1"/>
  <c r="F100" i="1" s="1"/>
  <c r="G100" i="1" s="1"/>
  <c r="F77" i="1" a="1"/>
  <c r="F77" i="1" s="1"/>
  <c r="G77" i="1" s="1"/>
  <c r="F49" i="1" a="1"/>
  <c r="F49" i="1" s="1"/>
  <c r="G49" i="1" s="1"/>
  <c r="F115" i="1" a="1"/>
  <c r="F115" i="1" s="1"/>
  <c r="G115" i="1" s="1"/>
  <c r="F58" i="1" a="1"/>
  <c r="F58" i="1" s="1"/>
  <c r="G58" i="1" s="1"/>
  <c r="F98" i="1" a="1"/>
  <c r="F98" i="1" s="1"/>
  <c r="G98" i="1" s="1"/>
  <c r="F45" i="1" a="1"/>
  <c r="F45" i="1" s="1"/>
  <c r="G45" i="1" s="1"/>
  <c r="F142" i="1" a="1"/>
  <c r="F142" i="1" s="1"/>
  <c r="G142" i="1" s="1"/>
  <c r="F48" i="1" a="1"/>
  <c r="F48" i="1" s="1"/>
  <c r="G48" i="1" s="1"/>
  <c r="F114" i="1" a="1"/>
  <c r="F114" i="1" s="1"/>
  <c r="G114" i="1" s="1"/>
  <c r="F99" i="1" a="1"/>
  <c r="F99" i="1" s="1"/>
  <c r="G99" i="1" s="1"/>
  <c r="F57" i="1" a="1"/>
  <c r="F57" i="1" s="1"/>
  <c r="G57" i="1" s="1"/>
  <c r="F74" i="1" a="1"/>
  <c r="F74" i="1" s="1"/>
  <c r="G74" i="1" s="1"/>
  <c r="F138" i="1" a="1"/>
  <c r="F138" i="1" s="1"/>
  <c r="G138" i="1" s="1"/>
  <c r="F119" i="1" a="1"/>
  <c r="F119" i="1" s="1"/>
  <c r="G119" i="1" s="1"/>
  <c r="F122" i="1" a="1"/>
  <c r="F122" i="1" s="1"/>
  <c r="G122" i="1" s="1"/>
  <c r="F89" i="1" a="1"/>
  <c r="F89" i="1" s="1"/>
  <c r="G89" i="1" s="1"/>
  <c r="F38" i="1" a="1"/>
  <c r="F38" i="1" s="1"/>
  <c r="G38" i="1" s="1"/>
  <c r="F66" i="1" a="1"/>
  <c r="F66" i="1" s="1"/>
  <c r="G66" i="1" s="1"/>
  <c r="F63" i="1" a="1"/>
  <c r="F63" i="1" s="1"/>
  <c r="G63" i="1" s="1"/>
  <c r="F93" i="1" a="1"/>
  <c r="F93" i="1" s="1"/>
  <c r="G93" i="1" s="1"/>
  <c r="F51" i="1" a="1"/>
  <c r="F51" i="1" s="1"/>
  <c r="G51" i="1" s="1"/>
  <c r="F153" i="1" a="1"/>
  <c r="F153" i="1" s="1"/>
  <c r="G153" i="1" s="1"/>
  <c r="F120" i="1" a="1"/>
  <c r="F120" i="1" s="1"/>
  <c r="G120" i="1" s="1"/>
  <c r="D108" i="1"/>
  <c r="D160" i="1"/>
  <c r="D144" i="1"/>
  <c r="D69" i="1"/>
  <c r="D146" i="1"/>
  <c r="E159" i="1" a="1"/>
  <c r="E159" i="1" s="1"/>
  <c r="E39" i="1" a="1"/>
  <c r="E39" i="1" s="1"/>
  <c r="E44" i="1" a="1"/>
  <c r="E44" i="1" s="1"/>
  <c r="E86" i="1" a="1"/>
  <c r="E86" i="1" s="1"/>
  <c r="D134" i="1"/>
  <c r="D154" i="1"/>
  <c r="D143" i="1"/>
  <c r="E128" i="1" a="1"/>
  <c r="E128" i="1" s="1"/>
  <c r="E133" i="1" a="1"/>
  <c r="E133" i="1" s="1"/>
  <c r="E116" i="1" a="1"/>
  <c r="E116" i="1" s="1"/>
  <c r="F68" i="1" a="1"/>
  <c r="F68" i="1" s="1"/>
  <c r="G68" i="1" s="1"/>
  <c r="E91" i="1" a="1"/>
  <c r="E91" i="1" s="1"/>
  <c r="E66" i="1" a="1"/>
  <c r="E66" i="1" s="1"/>
  <c r="D93" i="1"/>
  <c r="E101" i="1" a="1"/>
  <c r="E101" i="1" s="1"/>
  <c r="E62" i="1" a="1"/>
  <c r="E62" i="1" s="1"/>
  <c r="E121" i="1" a="1"/>
  <c r="E121" i="1" s="1"/>
  <c r="E63" i="1" a="1"/>
  <c r="E63" i="1" s="1"/>
  <c r="E117" i="1" a="1"/>
  <c r="E117" i="1" s="1"/>
  <c r="E140" i="1" a="1"/>
  <c r="E140" i="1" s="1"/>
  <c r="E136" i="1" a="1"/>
  <c r="E136" i="1" s="1"/>
  <c r="E88" i="1" a="1"/>
  <c r="E88" i="1" s="1"/>
  <c r="E85" i="1" a="1"/>
  <c r="E85" i="1" s="1"/>
  <c r="E104" i="1" a="1"/>
  <c r="E104" i="1" s="1"/>
  <c r="E113" i="1" a="1"/>
  <c r="E113" i="1" s="1"/>
  <c r="E48" i="1" a="1"/>
  <c r="E48" i="1" s="1"/>
  <c r="E95" i="1" a="1"/>
  <c r="E95" i="1" s="1"/>
  <c r="E132" i="1" a="1"/>
  <c r="E132" i="1" s="1"/>
  <c r="E99" i="1" a="1"/>
  <c r="E99" i="1" s="1"/>
  <c r="E56" i="1" a="1"/>
  <c r="E56" i="1" s="1"/>
  <c r="E110" i="1" a="1"/>
  <c r="E110" i="1" s="1"/>
  <c r="E145" i="1" a="1"/>
  <c r="E145" i="1" s="1"/>
  <c r="E115" i="1" a="1"/>
  <c r="E115" i="1" s="1"/>
  <c r="E67" i="1" a="1"/>
  <c r="E67" i="1" s="1"/>
  <c r="E74" i="1" a="1"/>
  <c r="E74" i="1" s="1"/>
  <c r="D84" i="1"/>
  <c r="D58" i="1"/>
  <c r="E55" i="1" a="1"/>
  <c r="E55" i="1" s="1"/>
  <c r="E155" i="1" a="1"/>
  <c r="E155" i="1" s="1"/>
  <c r="E79" i="1" a="1"/>
  <c r="E79" i="1" s="1"/>
  <c r="E54" i="1" a="1"/>
  <c r="E54" i="1" s="1"/>
  <c r="E45" i="1" a="1"/>
  <c r="E45" i="1" s="1"/>
  <c r="E87" i="1" a="1"/>
  <c r="E87" i="1" s="1"/>
  <c r="E97" i="1" a="1"/>
  <c r="E97" i="1" s="1"/>
  <c r="E60" i="1" a="1"/>
  <c r="E60" i="1" s="1"/>
  <c r="E100" i="1" a="1"/>
  <c r="E100" i="1" s="1"/>
  <c r="E49" i="1" a="1"/>
  <c r="E49" i="1" s="1"/>
  <c r="E90" i="1" a="1"/>
  <c r="E90" i="1" s="1"/>
  <c r="E75" i="1" a="1"/>
  <c r="E75" i="1" s="1"/>
  <c r="E158" i="1" a="1"/>
  <c r="E158" i="1" s="1"/>
  <c r="E122" i="1" a="1"/>
  <c r="E122" i="1" s="1"/>
  <c r="E106" i="1" a="1"/>
  <c r="E106" i="1" s="1"/>
  <c r="E76" i="1" a="1"/>
  <c r="E76" i="1" s="1"/>
  <c r="E124" i="1" a="1"/>
  <c r="E124" i="1" s="1"/>
  <c r="E64" i="1" a="1"/>
  <c r="E64" i="1" s="1"/>
  <c r="E161" i="1" a="1"/>
  <c r="E161" i="1" s="1"/>
  <c r="E120" i="1" a="1"/>
  <c r="E120" i="1" s="1"/>
  <c r="E50" i="1" a="1"/>
  <c r="E50" i="1" s="1"/>
  <c r="E123" i="1" a="1"/>
  <c r="E123" i="1" s="1"/>
  <c r="E70" i="1" a="1"/>
  <c r="E70" i="1" s="1"/>
  <c r="E77" i="1" a="1"/>
  <c r="E77" i="1" s="1"/>
  <c r="E102" i="1" a="1"/>
  <c r="E102" i="1" s="1"/>
  <c r="E78" i="1" a="1"/>
  <c r="E78" i="1" s="1"/>
  <c r="D81" i="1"/>
  <c r="E73" i="1" a="1"/>
  <c r="E73" i="1" s="1"/>
  <c r="E151" i="1" a="1"/>
  <c r="E151" i="1" s="1"/>
  <c r="E148" i="1" a="1"/>
  <c r="E148" i="1" s="1"/>
  <c r="E118" i="1" a="1"/>
  <c r="E118" i="1" s="1"/>
  <c r="E42" i="1" a="1"/>
  <c r="E42" i="1" s="1"/>
  <c r="E98" i="1" a="1"/>
  <c r="E98" i="1" s="1"/>
  <c r="E47" i="1" a="1"/>
  <c r="E47" i="1" s="1"/>
  <c r="E109" i="1" a="1"/>
  <c r="E109" i="1" s="1"/>
  <c r="E52" i="1" a="1"/>
  <c r="E52" i="1" s="1"/>
  <c r="E72" i="1" a="1"/>
  <c r="E72" i="1" s="1"/>
  <c r="E59" i="1" a="1"/>
  <c r="E59" i="1" s="1"/>
  <c r="E135" i="1" a="1"/>
  <c r="E135" i="1" s="1"/>
  <c r="E71" i="1" a="1"/>
  <c r="E71" i="1" s="1"/>
  <c r="E112" i="1" a="1"/>
  <c r="E112" i="1" s="1"/>
  <c r="E83" i="1" a="1"/>
  <c r="E83" i="1" s="1"/>
  <c r="E137" i="1" a="1"/>
  <c r="E137" i="1" s="1"/>
  <c r="E142" i="1" a="1"/>
  <c r="E142" i="1" s="1"/>
  <c r="E68" i="1" a="1"/>
  <c r="E68" i="1" s="1"/>
  <c r="N5" i="1" l="1"/>
  <c r="N6" i="1" a="1"/>
  <c r="N6" i="1" s="1"/>
  <c r="F14" i="1"/>
  <c r="E15" i="1"/>
  <c r="E17" i="1" s="1"/>
  <c r="B12" i="1" l="1"/>
  <c r="F15" i="1"/>
  <c r="F17" i="1" s="1"/>
  <c r="P6" i="1"/>
  <c r="N7" i="1"/>
  <c r="P4" i="1" s="1"/>
  <c r="B11" i="1"/>
  <c r="F16" i="1"/>
  <c r="H12" i="1" l="1"/>
  <c r="P5" i="1"/>
  <c r="C12" i="1"/>
  <c r="B17" i="1"/>
  <c r="F10" i="1"/>
  <c r="G12" i="1"/>
  <c r="H11" i="1"/>
  <c r="E10" i="1"/>
  <c r="G11" i="1"/>
  <c r="C11" i="1"/>
  <c r="H15" i="1" l="1"/>
  <c r="H14" i="1"/>
  <c r="H18" i="1" s="1" a="1"/>
  <c r="H18" i="1" s="1"/>
  <c r="H16" i="1"/>
  <c r="H23" i="1"/>
  <c r="F11" i="1"/>
  <c r="F12" i="1"/>
  <c r="F23" i="1" s="1"/>
  <c r="E11" i="1"/>
  <c r="E12" i="1"/>
  <c r="B19" i="1"/>
  <c r="B20" i="1" s="1"/>
  <c r="H24" i="1" l="1"/>
  <c r="H25" i="1"/>
  <c r="E19" i="1"/>
  <c r="E20" i="1" s="1"/>
  <c r="F25" i="1"/>
  <c r="F24" i="1"/>
  <c r="F19" i="1"/>
  <c r="H19" i="1"/>
  <c r="H20" i="1" s="1"/>
  <c r="H17" i="1"/>
  <c r="H28" i="1" l="1"/>
  <c r="H27" i="1"/>
  <c r="H29" i="1"/>
  <c r="F20" i="1"/>
  <c r="F32" i="1"/>
  <c r="F33" i="1" s="1"/>
  <c r="F28" i="1"/>
  <c r="F29" i="1"/>
  <c r="F27" i="1"/>
  <c r="F30" i="1" s="1"/>
  <c r="C19" i="1"/>
  <c r="C20" i="1" s="1"/>
  <c r="C17" i="1"/>
  <c r="G19" i="1"/>
  <c r="G20" i="1" s="1"/>
  <c r="G17" i="1"/>
  <c r="H31" i="1" l="1" a="1"/>
  <c r="H31" i="1" s="1"/>
  <c r="H32" i="1" s="1"/>
  <c r="H33" i="1" s="1"/>
  <c r="H30" i="1"/>
</calcChain>
</file>

<file path=xl/sharedStrings.xml><?xml version="1.0" encoding="utf-8"?>
<sst xmlns="http://schemas.openxmlformats.org/spreadsheetml/2006/main" count="68" uniqueCount="54">
  <si>
    <t>PROBLEMA 2</t>
  </si>
  <si>
    <t>Activos</t>
  </si>
  <si>
    <t>E</t>
  </si>
  <si>
    <t>V</t>
  </si>
  <si>
    <t>1n</t>
  </si>
  <si>
    <t>V^-1</t>
  </si>
  <si>
    <t>V^-1 1n</t>
  </si>
  <si>
    <t>V^-1 E</t>
  </si>
  <si>
    <t>lambda_1</t>
  </si>
  <si>
    <t>lambda_2</t>
  </si>
  <si>
    <t>C</t>
  </si>
  <si>
    <t>C/D</t>
  </si>
  <si>
    <t>B</t>
  </si>
  <si>
    <t>B/D</t>
  </si>
  <si>
    <t>A</t>
  </si>
  <si>
    <t>A/D</t>
  </si>
  <si>
    <t>D</t>
  </si>
  <si>
    <t>w1</t>
  </si>
  <si>
    <t>w2</t>
  </si>
  <si>
    <t>w3</t>
  </si>
  <si>
    <t>suma</t>
  </si>
  <si>
    <t>Sp</t>
  </si>
  <si>
    <t>Ep</t>
  </si>
  <si>
    <t>S2p</t>
  </si>
  <si>
    <t>g</t>
  </si>
  <si>
    <t>g+h</t>
  </si>
  <si>
    <t>mv</t>
  </si>
  <si>
    <t>d</t>
  </si>
  <si>
    <t>p1</t>
  </si>
  <si>
    <t>p2</t>
  </si>
  <si>
    <t>p0</t>
  </si>
  <si>
    <t>Eficiente</t>
  </si>
  <si>
    <t>Ineficiente</t>
  </si>
  <si>
    <t>E_z(d)</t>
  </si>
  <si>
    <t>E_z(p1)</t>
  </si>
  <si>
    <t>E_z(p2)</t>
  </si>
  <si>
    <t>w(zd)</t>
  </si>
  <si>
    <t>w(zp1)</t>
  </si>
  <si>
    <t>w(zp2)</t>
  </si>
  <si>
    <t>Ez</t>
  </si>
  <si>
    <t>S2z</t>
  </si>
  <si>
    <t>Sz</t>
  </si>
  <si>
    <t>Sp(FE)</t>
  </si>
  <si>
    <t>Generacion del Conjunto de Oportunidades de Inversion</t>
  </si>
  <si>
    <t>Carteras de menor o minima varianza</t>
  </si>
  <si>
    <t>Carteras ortogonales a las carteras eficientes</t>
  </si>
  <si>
    <t>Vw</t>
  </si>
  <si>
    <t>CMR(i,p)</t>
  </si>
  <si>
    <t>CMNR(i,p)</t>
  </si>
  <si>
    <t>Contribucion Marginal</t>
  </si>
  <si>
    <t>Contribucion total</t>
  </si>
  <si>
    <t>CTR(i,p)</t>
  </si>
  <si>
    <t>CTNR(i,p)</t>
  </si>
  <si>
    <t>CT(S2p)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</si>
</sst>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D6E3B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0" fillId="5" borderId="0" xfId="0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0" fillId="7" borderId="0" xfId="0" applyFill="1"/>
    <xf numFmtId="0" fontId="0" fillId="8" borderId="0" xfId="0" applyFill="1"/>
    <xf numFmtId="164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9" fillId="8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0" fillId="6" borderId="0" xfId="0" applyNumberFormat="1" applyFont="1" applyFill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6" fontId="9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Conjunto Oportunidades Inversion,</a:t>
            </a:r>
            <a:r>
              <a:rPr lang="en-US" baseline="0"/>
              <a:t> CCMR y FE</a:t>
            </a:r>
            <a:endParaRPr lang="en-US"/>
          </a:p>
        </c:rich>
      </c:tx>
      <c:layout>
        <c:manualLayout>
          <c:xMode val="edge"/>
          <c:yMode val="edge"/>
          <c:x val="0.35854341109747756"/>
          <c:y val="3.786250774586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898677463319487E-2"/>
          <c:y val="9.8585441334976848E-2"/>
          <c:w val="0.90364546904288956"/>
          <c:h val="0.80247439414570021"/>
        </c:manualLayout>
      </c:layout>
      <c:scatterChart>
        <c:scatterStyle val="lineMarker"/>
        <c:varyColors val="0"/>
        <c:ser>
          <c:idx val="0"/>
          <c:order val="0"/>
          <c:tx>
            <c:v>COI</c:v>
          </c:tx>
          <c:spPr>
            <a:ln w="1905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Full1!$E$37:$E$161</c:f>
              <c:numCache>
                <c:formatCode>0.0000</c:formatCode>
                <c:ptCount val="125"/>
                <c:pt idx="0">
                  <c:v>0.14262932670011014</c:v>
                </c:pt>
                <c:pt idx="1">
                  <c:v>0.11819936456053427</c:v>
                </c:pt>
                <c:pt idx="2">
                  <c:v>0.11854611044398107</c:v>
                </c:pt>
                <c:pt idx="3">
                  <c:v>0.11383605272168769</c:v>
                </c:pt>
                <c:pt idx="4">
                  <c:v>0.10451340201254848</c:v>
                </c:pt>
                <c:pt idx="5">
                  <c:v>8.3012203838485926E-2</c:v>
                </c:pt>
                <c:pt idx="6">
                  <c:v>8.3161010513583461E-2</c:v>
                </c:pt>
                <c:pt idx="7">
                  <c:v>8.2841406702182624E-2</c:v>
                </c:pt>
                <c:pt idx="8">
                  <c:v>0.12065088820757121</c:v>
                </c:pt>
                <c:pt idx="9">
                  <c:v>0.11965236677118114</c:v>
                </c:pt>
                <c:pt idx="10">
                  <c:v>9.954675519510843E-2</c:v>
                </c:pt>
                <c:pt idx="11">
                  <c:v>7.8210603469437229E-2</c:v>
                </c:pt>
                <c:pt idx="12">
                  <c:v>8.3036803769074297E-2</c:v>
                </c:pt>
                <c:pt idx="13">
                  <c:v>0.14098414449156427</c:v>
                </c:pt>
                <c:pt idx="14">
                  <c:v>7.7670793994429888E-2</c:v>
                </c:pt>
                <c:pt idx="15">
                  <c:v>7.761031614599731E-2</c:v>
                </c:pt>
                <c:pt idx="16">
                  <c:v>0.10741564705370782</c:v>
                </c:pt>
                <c:pt idx="17">
                  <c:v>8.7314066665533957E-2</c:v>
                </c:pt>
                <c:pt idx="18">
                  <c:v>0.14367869523177371</c:v>
                </c:pt>
                <c:pt idx="19">
                  <c:v>9.5624236518052311E-2</c:v>
                </c:pt>
                <c:pt idx="20">
                  <c:v>0.15485549372261692</c:v>
                </c:pt>
                <c:pt idx="21">
                  <c:v>0.16930734982076681</c:v>
                </c:pt>
                <c:pt idx="22">
                  <c:v>0.11418213282719686</c:v>
                </c:pt>
                <c:pt idx="23">
                  <c:v>0.11349780329939214</c:v>
                </c:pt>
                <c:pt idx="24">
                  <c:v>0.16470344053119537</c:v>
                </c:pt>
                <c:pt idx="25">
                  <c:v>0.11214572520787587</c:v>
                </c:pt>
                <c:pt idx="26">
                  <c:v>7.6825905346322457E-2</c:v>
                </c:pt>
                <c:pt idx="27">
                  <c:v>8.6018713111892478E-2</c:v>
                </c:pt>
                <c:pt idx="28">
                  <c:v>0.18369354721943204</c:v>
                </c:pt>
                <c:pt idx="29">
                  <c:v>0.1410385705329909</c:v>
                </c:pt>
                <c:pt idx="30">
                  <c:v>0.1866881039616482</c:v>
                </c:pt>
                <c:pt idx="31">
                  <c:v>0.10249916612380605</c:v>
                </c:pt>
                <c:pt idx="32">
                  <c:v>7.9652930656234827E-2</c:v>
                </c:pt>
                <c:pt idx="33">
                  <c:v>8.3707201911035908E-2</c:v>
                </c:pt>
                <c:pt idx="34">
                  <c:v>0.16584632679417571</c:v>
                </c:pt>
                <c:pt idx="35">
                  <c:v>0.11844682587725791</c:v>
                </c:pt>
                <c:pt idx="36">
                  <c:v>9.1621101479347739E-2</c:v>
                </c:pt>
                <c:pt idx="37">
                  <c:v>0.13673985690628518</c:v>
                </c:pt>
                <c:pt idx="38">
                  <c:v>9.7073905500689409E-2</c:v>
                </c:pt>
                <c:pt idx="39">
                  <c:v>0.1864343643238088</c:v>
                </c:pt>
                <c:pt idx="40">
                  <c:v>8.1760170852537242E-2</c:v>
                </c:pt>
                <c:pt idx="41">
                  <c:v>0.12999418310073235</c:v>
                </c:pt>
                <c:pt idx="42">
                  <c:v>0.20577454073101639</c:v>
                </c:pt>
                <c:pt idx="43">
                  <c:v>0.10887511072484478</c:v>
                </c:pt>
                <c:pt idx="44">
                  <c:v>0.12219502435588284</c:v>
                </c:pt>
                <c:pt idx="45">
                  <c:v>9.3495046657022476E-2</c:v>
                </c:pt>
                <c:pt idx="46">
                  <c:v>0.20355262624059356</c:v>
                </c:pt>
                <c:pt idx="47">
                  <c:v>0.15099259235681864</c:v>
                </c:pt>
                <c:pt idx="48">
                  <c:v>0.16125406616313756</c:v>
                </c:pt>
                <c:pt idx="49">
                  <c:v>0.13056075069140835</c:v>
                </c:pt>
                <c:pt idx="50">
                  <c:v>0.21931502498854311</c:v>
                </c:pt>
                <c:pt idx="51">
                  <c:v>9.516002093570361E-2</c:v>
                </c:pt>
                <c:pt idx="52">
                  <c:v>0.11577882426411545</c:v>
                </c:pt>
                <c:pt idx="53">
                  <c:v>0.10122855071806369</c:v>
                </c:pt>
                <c:pt idx="54">
                  <c:v>0.16415022782728481</c:v>
                </c:pt>
                <c:pt idx="55">
                  <c:v>0.10069061916304083</c:v>
                </c:pt>
                <c:pt idx="56">
                  <c:v>0.12850945512474576</c:v>
                </c:pt>
                <c:pt idx="57">
                  <c:v>0.15679788756188925</c:v>
                </c:pt>
                <c:pt idx="58">
                  <c:v>0.1557185695181306</c:v>
                </c:pt>
                <c:pt idx="59">
                  <c:v>0.1516078041442171</c:v>
                </c:pt>
                <c:pt idx="60">
                  <c:v>0.19014963780345703</c:v>
                </c:pt>
                <c:pt idx="61">
                  <c:v>9.8982800813299993E-2</c:v>
                </c:pt>
                <c:pt idx="62">
                  <c:v>9.9894274476138842E-2</c:v>
                </c:pt>
                <c:pt idx="63">
                  <c:v>0.116045277347464</c:v>
                </c:pt>
                <c:pt idx="64">
                  <c:v>0.14388108866365446</c:v>
                </c:pt>
                <c:pt idx="65">
                  <c:v>0.15006437710282006</c:v>
                </c:pt>
                <c:pt idx="66">
                  <c:v>0.21362435205393132</c:v>
                </c:pt>
                <c:pt idx="67">
                  <c:v>0.20249750767970467</c:v>
                </c:pt>
                <c:pt idx="68">
                  <c:v>0.18878187205449753</c:v>
                </c:pt>
                <c:pt idx="69">
                  <c:v>0.15017579466762024</c:v>
                </c:pt>
                <c:pt idx="70">
                  <c:v>0.10261625129131952</c:v>
                </c:pt>
                <c:pt idx="71">
                  <c:v>0.10672759784082853</c:v>
                </c:pt>
                <c:pt idx="72">
                  <c:v>0.16839407753983196</c:v>
                </c:pt>
                <c:pt idx="73">
                  <c:v>0.15858760663408369</c:v>
                </c:pt>
                <c:pt idx="74">
                  <c:v>0.117959142552753</c:v>
                </c:pt>
                <c:pt idx="75">
                  <c:v>0.24740265735802072</c:v>
                </c:pt>
                <c:pt idx="76">
                  <c:v>0.11023493063571931</c:v>
                </c:pt>
                <c:pt idx="77">
                  <c:v>0.13716683068050636</c:v>
                </c:pt>
                <c:pt idx="78">
                  <c:v>0.12400433109728753</c:v>
                </c:pt>
                <c:pt idx="79">
                  <c:v>0.25522197752915854</c:v>
                </c:pt>
                <c:pt idx="80">
                  <c:v>0.16626603505198573</c:v>
                </c:pt>
                <c:pt idx="81">
                  <c:v>0.15843551946538784</c:v>
                </c:pt>
                <c:pt idx="82">
                  <c:v>0.11373595316245777</c:v>
                </c:pt>
                <c:pt idx="83">
                  <c:v>0.21235210867642582</c:v>
                </c:pt>
                <c:pt idx="84">
                  <c:v>0.12083019042317186</c:v>
                </c:pt>
                <c:pt idx="85">
                  <c:v>0.12880018028002552</c:v>
                </c:pt>
                <c:pt idx="86">
                  <c:v>0.27008251986940052</c:v>
                </c:pt>
                <c:pt idx="87">
                  <c:v>0.25263127351198389</c:v>
                </c:pt>
                <c:pt idx="88">
                  <c:v>0.13316655490347978</c:v>
                </c:pt>
                <c:pt idx="89">
                  <c:v>0.21254885569711121</c:v>
                </c:pt>
                <c:pt idx="90">
                  <c:v>0.15181371904904067</c:v>
                </c:pt>
                <c:pt idx="91">
                  <c:v>0.16906967626342628</c:v>
                </c:pt>
                <c:pt idx="92">
                  <c:v>0.25500512799556085</c:v>
                </c:pt>
                <c:pt idx="93">
                  <c:v>0.13331656280895943</c:v>
                </c:pt>
                <c:pt idx="94">
                  <c:v>0.13590222862962195</c:v>
                </c:pt>
                <c:pt idx="95">
                  <c:v>0.17792796184311954</c:v>
                </c:pt>
                <c:pt idx="96">
                  <c:v>0.13332789785131458</c:v>
                </c:pt>
                <c:pt idx="97">
                  <c:v>0.23610236899782286</c:v>
                </c:pt>
                <c:pt idx="98">
                  <c:v>0.13414428096813794</c:v>
                </c:pt>
                <c:pt idx="99">
                  <c:v>0.24913564079196965</c:v>
                </c:pt>
                <c:pt idx="100">
                  <c:v>0.15449745520195876</c:v>
                </c:pt>
                <c:pt idx="101">
                  <c:v>0.2430692084541396</c:v>
                </c:pt>
                <c:pt idx="102">
                  <c:v>0.15151485123906741</c:v>
                </c:pt>
                <c:pt idx="103">
                  <c:v>0.2047902340973819</c:v>
                </c:pt>
                <c:pt idx="104">
                  <c:v>0.15222060708095092</c:v>
                </c:pt>
                <c:pt idx="105">
                  <c:v>0.15565705562171553</c:v>
                </c:pt>
                <c:pt idx="106">
                  <c:v>0.15958964477868803</c:v>
                </c:pt>
                <c:pt idx="107">
                  <c:v>0.15350371752972525</c:v>
                </c:pt>
                <c:pt idx="108">
                  <c:v>0.16031202266507683</c:v>
                </c:pt>
                <c:pt idx="109">
                  <c:v>0.15469715130162925</c:v>
                </c:pt>
                <c:pt idx="110">
                  <c:v>0.20004637066980679</c:v>
                </c:pt>
                <c:pt idx="111">
                  <c:v>0.21184852792033612</c:v>
                </c:pt>
                <c:pt idx="112">
                  <c:v>0.15138449338933418</c:v>
                </c:pt>
                <c:pt idx="113">
                  <c:v>0.16827615226393028</c:v>
                </c:pt>
                <c:pt idx="114">
                  <c:v>0.20066279608660526</c:v>
                </c:pt>
                <c:pt idx="115">
                  <c:v>0.18197648754090534</c:v>
                </c:pt>
                <c:pt idx="116">
                  <c:v>0.2163023572648298</c:v>
                </c:pt>
                <c:pt idx="117">
                  <c:v>0.16534978837966288</c:v>
                </c:pt>
                <c:pt idx="118">
                  <c:v>0.18278576909350219</c:v>
                </c:pt>
                <c:pt idx="119">
                  <c:v>0.17607712569742492</c:v>
                </c:pt>
                <c:pt idx="120">
                  <c:v>0.20058587206544626</c:v>
                </c:pt>
                <c:pt idx="121">
                  <c:v>0.18260511821089165</c:v>
                </c:pt>
                <c:pt idx="122">
                  <c:v>0.20961112298611953</c:v>
                </c:pt>
                <c:pt idx="123">
                  <c:v>0.20744402611644774</c:v>
                </c:pt>
                <c:pt idx="124">
                  <c:v>0.19006789449412118</c:v>
                </c:pt>
              </c:numCache>
            </c:numRef>
          </c:xVal>
          <c:yVal>
            <c:numRef>
              <c:f>Full1!$F$37:$F$161</c:f>
              <c:numCache>
                <c:formatCode>0.0000</c:formatCode>
                <c:ptCount val="125"/>
                <c:pt idx="0">
                  <c:v>3.664997079615339E-2</c:v>
                </c:pt>
                <c:pt idx="1">
                  <c:v>3.7564084289762469E-2</c:v>
                </c:pt>
                <c:pt idx="2">
                  <c:v>4.1061786574206303E-2</c:v>
                </c:pt>
                <c:pt idx="3">
                  <c:v>4.5714610085903537E-2</c:v>
                </c:pt>
                <c:pt idx="4">
                  <c:v>4.9142874219522709E-2</c:v>
                </c:pt>
                <c:pt idx="5">
                  <c:v>5.1707054367552838E-2</c:v>
                </c:pt>
                <c:pt idx="6">
                  <c:v>5.1978304005906972E-2</c:v>
                </c:pt>
                <c:pt idx="7">
                  <c:v>5.2045978549079254E-2</c:v>
                </c:pt>
                <c:pt idx="8">
                  <c:v>5.3875972508985112E-2</c:v>
                </c:pt>
                <c:pt idx="9">
                  <c:v>5.418807990307916E-2</c:v>
                </c:pt>
                <c:pt idx="10">
                  <c:v>5.8141937378074632E-2</c:v>
                </c:pt>
                <c:pt idx="11">
                  <c:v>6.1363695995762219E-2</c:v>
                </c:pt>
                <c:pt idx="12">
                  <c:v>6.2731380342692128E-2</c:v>
                </c:pt>
                <c:pt idx="13">
                  <c:v>6.2943858754219428E-2</c:v>
                </c:pt>
                <c:pt idx="14">
                  <c:v>6.413473769950831E-2</c:v>
                </c:pt>
                <c:pt idx="15">
                  <c:v>6.4354670064935574E-2</c:v>
                </c:pt>
                <c:pt idx="16">
                  <c:v>6.467539964137492E-2</c:v>
                </c:pt>
                <c:pt idx="17">
                  <c:v>6.6110528346120745E-2</c:v>
                </c:pt>
                <c:pt idx="18">
                  <c:v>6.7323354524780027E-2</c:v>
                </c:pt>
                <c:pt idx="19">
                  <c:v>6.7976797028931751E-2</c:v>
                </c:pt>
                <c:pt idx="20">
                  <c:v>6.8155301711197366E-2</c:v>
                </c:pt>
                <c:pt idx="21">
                  <c:v>6.8707858775360064E-2</c:v>
                </c:pt>
                <c:pt idx="22">
                  <c:v>6.9111326361149597E-2</c:v>
                </c:pt>
                <c:pt idx="23">
                  <c:v>6.9620138617548011E-2</c:v>
                </c:pt>
                <c:pt idx="24">
                  <c:v>6.9723795225665117E-2</c:v>
                </c:pt>
                <c:pt idx="25">
                  <c:v>6.9836544235120618E-2</c:v>
                </c:pt>
                <c:pt idx="26">
                  <c:v>6.9929486741377389E-2</c:v>
                </c:pt>
                <c:pt idx="27">
                  <c:v>7.041603750299627E-2</c:v>
                </c:pt>
                <c:pt idx="28">
                  <c:v>7.188938601334674E-2</c:v>
                </c:pt>
                <c:pt idx="29">
                  <c:v>7.3506683696551639E-2</c:v>
                </c:pt>
                <c:pt idx="30">
                  <c:v>7.4283890111087839E-2</c:v>
                </c:pt>
                <c:pt idx="31">
                  <c:v>7.4707763074700173E-2</c:v>
                </c:pt>
                <c:pt idx="32">
                  <c:v>7.516508108114188E-2</c:v>
                </c:pt>
                <c:pt idx="33">
                  <c:v>7.6395236043050499E-2</c:v>
                </c:pt>
                <c:pt idx="34">
                  <c:v>7.6545346468052958E-2</c:v>
                </c:pt>
                <c:pt idx="35">
                  <c:v>7.6959715882008936E-2</c:v>
                </c:pt>
                <c:pt idx="36">
                  <c:v>7.7223341734014614E-2</c:v>
                </c:pt>
                <c:pt idx="37">
                  <c:v>7.8347432565245984E-2</c:v>
                </c:pt>
                <c:pt idx="38">
                  <c:v>7.842103771309715E-2</c:v>
                </c:pt>
                <c:pt idx="39">
                  <c:v>7.8908624065563981E-2</c:v>
                </c:pt>
                <c:pt idx="40">
                  <c:v>7.936701697544879E-2</c:v>
                </c:pt>
                <c:pt idx="41">
                  <c:v>7.9834849852321116E-2</c:v>
                </c:pt>
                <c:pt idx="42">
                  <c:v>8.0385813477211743E-2</c:v>
                </c:pt>
                <c:pt idx="43">
                  <c:v>8.0566639110987215E-2</c:v>
                </c:pt>
                <c:pt idx="44">
                  <c:v>8.0707190369037729E-2</c:v>
                </c:pt>
                <c:pt idx="45">
                  <c:v>8.0718701734001294E-2</c:v>
                </c:pt>
                <c:pt idx="46">
                  <c:v>8.0869054359196349E-2</c:v>
                </c:pt>
                <c:pt idx="47">
                  <c:v>8.2494593101407651E-2</c:v>
                </c:pt>
                <c:pt idx="48">
                  <c:v>8.307865907649821E-2</c:v>
                </c:pt>
                <c:pt idx="49">
                  <c:v>8.3961236842913026E-2</c:v>
                </c:pt>
                <c:pt idx="50">
                  <c:v>8.5581851097635733E-2</c:v>
                </c:pt>
                <c:pt idx="51">
                  <c:v>8.6015576300984123E-2</c:v>
                </c:pt>
                <c:pt idx="52">
                  <c:v>8.7392043820158888E-2</c:v>
                </c:pt>
                <c:pt idx="53">
                  <c:v>8.7514269491382149E-2</c:v>
                </c:pt>
                <c:pt idx="54">
                  <c:v>8.7515851706276071E-2</c:v>
                </c:pt>
                <c:pt idx="55">
                  <c:v>8.7709436898224899E-2</c:v>
                </c:pt>
                <c:pt idx="56">
                  <c:v>8.7757359158015927E-2</c:v>
                </c:pt>
                <c:pt idx="57">
                  <c:v>8.8147279582459589E-2</c:v>
                </c:pt>
                <c:pt idx="58">
                  <c:v>8.9762512344834691E-2</c:v>
                </c:pt>
                <c:pt idx="59">
                  <c:v>9.0063589984431633E-2</c:v>
                </c:pt>
                <c:pt idx="60">
                  <c:v>9.0912532887911485E-2</c:v>
                </c:pt>
                <c:pt idx="61">
                  <c:v>9.175379919157553E-2</c:v>
                </c:pt>
                <c:pt idx="62">
                  <c:v>9.2464052302892855E-2</c:v>
                </c:pt>
                <c:pt idx="63">
                  <c:v>9.2469802516793917E-2</c:v>
                </c:pt>
                <c:pt idx="64">
                  <c:v>9.2520772439081092E-2</c:v>
                </c:pt>
                <c:pt idx="65">
                  <c:v>9.3079401725608177E-2</c:v>
                </c:pt>
                <c:pt idx="66">
                  <c:v>9.3116076545519955E-2</c:v>
                </c:pt>
                <c:pt idx="67">
                  <c:v>9.3520999880414818E-2</c:v>
                </c:pt>
                <c:pt idx="68">
                  <c:v>9.3533735353590539E-2</c:v>
                </c:pt>
                <c:pt idx="69">
                  <c:v>9.4738871778465433E-2</c:v>
                </c:pt>
                <c:pt idx="70">
                  <c:v>9.5014727846549601E-2</c:v>
                </c:pt>
                <c:pt idx="71">
                  <c:v>9.7109352614807021E-2</c:v>
                </c:pt>
                <c:pt idx="72">
                  <c:v>9.8020727033680796E-2</c:v>
                </c:pt>
                <c:pt idx="73">
                  <c:v>9.84996071002254E-2</c:v>
                </c:pt>
                <c:pt idx="74">
                  <c:v>9.9401914830999971E-2</c:v>
                </c:pt>
                <c:pt idx="75">
                  <c:v>9.9450537161312413E-2</c:v>
                </c:pt>
                <c:pt idx="76">
                  <c:v>0.10119912864767695</c:v>
                </c:pt>
                <c:pt idx="77">
                  <c:v>0.1013271452879925</c:v>
                </c:pt>
                <c:pt idx="78">
                  <c:v>0.10136210461606611</c:v>
                </c:pt>
                <c:pt idx="79">
                  <c:v>0.10288678242829104</c:v>
                </c:pt>
                <c:pt idx="80">
                  <c:v>0.1031373292537295</c:v>
                </c:pt>
                <c:pt idx="81">
                  <c:v>0.10365216387510519</c:v>
                </c:pt>
                <c:pt idx="82">
                  <c:v>0.10403434363900615</c:v>
                </c:pt>
                <c:pt idx="83">
                  <c:v>0.10580688262024635</c:v>
                </c:pt>
                <c:pt idx="84">
                  <c:v>0.10626585593159431</c:v>
                </c:pt>
                <c:pt idx="85">
                  <c:v>0.10822848502919537</c:v>
                </c:pt>
                <c:pt idx="86">
                  <c:v>0.10826298085268823</c:v>
                </c:pt>
                <c:pt idx="87">
                  <c:v>0.10916892551333023</c:v>
                </c:pt>
                <c:pt idx="88">
                  <c:v>0.10997415826665401</c:v>
                </c:pt>
                <c:pt idx="89">
                  <c:v>0.11062390585086503</c:v>
                </c:pt>
                <c:pt idx="90">
                  <c:v>0.11197834628670938</c:v>
                </c:pt>
                <c:pt idx="91">
                  <c:v>0.11198715429741818</c:v>
                </c:pt>
                <c:pt idx="92">
                  <c:v>0.11256130550403269</c:v>
                </c:pt>
                <c:pt idx="93">
                  <c:v>0.11315023730569444</c:v>
                </c:pt>
                <c:pt idx="94">
                  <c:v>0.11438352593489601</c:v>
                </c:pt>
                <c:pt idx="95">
                  <c:v>0.11497067586226903</c:v>
                </c:pt>
                <c:pt idx="96">
                  <c:v>0.11519221064722342</c:v>
                </c:pt>
                <c:pt idx="97">
                  <c:v>0.11536401329189411</c:v>
                </c:pt>
                <c:pt idx="98">
                  <c:v>0.11549889067039293</c:v>
                </c:pt>
                <c:pt idx="99">
                  <c:v>0.11660783574025464</c:v>
                </c:pt>
                <c:pt idx="100">
                  <c:v>0.11676867504728924</c:v>
                </c:pt>
                <c:pt idx="101">
                  <c:v>0.11713783052522896</c:v>
                </c:pt>
                <c:pt idx="102">
                  <c:v>0.11869893408166889</c:v>
                </c:pt>
                <c:pt idx="103">
                  <c:v>0.11902896431789857</c:v>
                </c:pt>
                <c:pt idx="104">
                  <c:v>0.12138224950738308</c:v>
                </c:pt>
                <c:pt idx="105">
                  <c:v>0.12146381375902336</c:v>
                </c:pt>
                <c:pt idx="106">
                  <c:v>0.12197267083147301</c:v>
                </c:pt>
                <c:pt idx="107">
                  <c:v>0.1222100924113016</c:v>
                </c:pt>
                <c:pt idx="108">
                  <c:v>0.12346219219458435</c:v>
                </c:pt>
                <c:pt idx="109">
                  <c:v>0.12352302254947803</c:v>
                </c:pt>
                <c:pt idx="110">
                  <c:v>0.12390169995144379</c:v>
                </c:pt>
                <c:pt idx="111">
                  <c:v>0.12424623720021519</c:v>
                </c:pt>
                <c:pt idx="112">
                  <c:v>0.12476682653324273</c:v>
                </c:pt>
                <c:pt idx="113">
                  <c:v>0.12708570815379225</c:v>
                </c:pt>
                <c:pt idx="114">
                  <c:v>0.12762108017134308</c:v>
                </c:pt>
                <c:pt idx="115">
                  <c:v>0.12765213481855567</c:v>
                </c:pt>
                <c:pt idx="116">
                  <c:v>0.12918405090622978</c:v>
                </c:pt>
                <c:pt idx="117">
                  <c:v>0.13115551837288991</c:v>
                </c:pt>
                <c:pt idx="118">
                  <c:v>0.13622936539859029</c:v>
                </c:pt>
                <c:pt idx="119">
                  <c:v>0.13701615541584522</c:v>
                </c:pt>
                <c:pt idx="120">
                  <c:v>0.13816078603399873</c:v>
                </c:pt>
                <c:pt idx="121">
                  <c:v>0.13865854183854087</c:v>
                </c:pt>
                <c:pt idx="122">
                  <c:v>0.13893624886960371</c:v>
                </c:pt>
                <c:pt idx="123">
                  <c:v>0.13905943231551143</c:v>
                </c:pt>
                <c:pt idx="124">
                  <c:v>0.14408983740294731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C-4F5B-86B8-ECA9AE2F46FC}"/>
            </c:ext>
          </c:extLst>
        </c:ser>
        <c:ser>
          <c:idx val="1"/>
          <c:order val="1"/>
          <c:tx>
            <c:v>mv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Full1!$E$20</c:f>
              <c:numCache>
                <c:formatCode>0.00000</c:formatCode>
                <c:ptCount val="1"/>
                <c:pt idx="0">
                  <c:v>7.6088591025268243E-2</c:v>
                </c:pt>
              </c:numCache>
            </c:numRef>
          </c:xVal>
          <c:yVal>
            <c:numRef>
              <c:f>Full1!$E$18</c:f>
              <c:numCache>
                <c:formatCode>0.00000</c:formatCode>
                <c:ptCount val="1"/>
                <c:pt idx="0">
                  <c:v>6.6315789473684203E-2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9-4081-9B29-26D8A736982D}"/>
            </c:ext>
          </c:extLst>
        </c:ser>
        <c:ser>
          <c:idx val="2"/>
          <c:order val="2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Full1!$F$20</c:f>
              <c:numCache>
                <c:formatCode>0.000000</c:formatCode>
                <c:ptCount val="1"/>
                <c:pt idx="0">
                  <c:v>8.5497226634299192E-2</c:v>
                </c:pt>
              </c:numCache>
            </c:numRef>
          </c:xVal>
          <c:yVal>
            <c:numRef>
              <c:f>Full1!$F$18</c:f>
              <c:numCache>
                <c:formatCode>0.000000</c:formatCode>
                <c:ptCount val="1"/>
                <c:pt idx="0">
                  <c:v>8.3730158730158738E-2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F9-4081-9B29-26D8A736982D}"/>
            </c:ext>
          </c:extLst>
        </c:ser>
        <c:ser>
          <c:idx val="3"/>
          <c:order val="3"/>
          <c:tx>
            <c:strRef>
              <c:f>Full1!$D$13</c:f>
              <c:strCache>
                <c:ptCount val="1"/>
                <c:pt idx="0">
                  <c:v>p0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Full1!$D$20</c:f>
              <c:numCache>
                <c:formatCode>0.000000</c:formatCode>
                <c:ptCount val="1"/>
                <c:pt idx="0">
                  <c:v>8.4403853905433188E-2</c:v>
                </c:pt>
              </c:numCache>
            </c:numRef>
          </c:xVal>
          <c:yVal>
            <c:numRef>
              <c:f>Full1!$D$18</c:f>
              <c:numCache>
                <c:formatCode>0.000000</c:formatCode>
                <c:ptCount val="1"/>
                <c:pt idx="0">
                  <c:v>5.0000000000000086E-2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F9-4081-9B29-26D8A736982D}"/>
            </c:ext>
          </c:extLst>
        </c:ser>
        <c:ser>
          <c:idx val="4"/>
          <c:order val="4"/>
          <c:tx>
            <c:strRef>
              <c:f>Full1!$G$13</c:f>
              <c:strCache>
                <c:ptCount val="1"/>
                <c:pt idx="0">
                  <c:v>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Full1!$G$20</c:f>
              <c:numCache>
                <c:formatCode>0.00000</c:formatCode>
                <c:ptCount val="1"/>
                <c:pt idx="0">
                  <c:v>0.10713343343404427</c:v>
                </c:pt>
              </c:numCache>
            </c:numRef>
          </c:xVal>
          <c:yVal>
            <c:numRef>
              <c:f>Full1!$G$18</c:f>
              <c:numCache>
                <c:formatCode>0.000000</c:formatCode>
                <c:ptCount val="1"/>
                <c:pt idx="0">
                  <c:v>0.10000000000000016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F9-4081-9B29-26D8A736982D}"/>
            </c:ext>
          </c:extLst>
        </c:ser>
        <c:ser>
          <c:idx val="5"/>
          <c:order val="5"/>
          <c:tx>
            <c:strRef>
              <c:f>Full1!$H$13</c:f>
              <c:strCache>
                <c:ptCount val="1"/>
                <c:pt idx="0">
                  <c:v>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Full1!$H$20</c:f>
              <c:numCache>
                <c:formatCode>0.000000</c:formatCode>
                <c:ptCount val="1"/>
                <c:pt idx="0">
                  <c:v>0.14225845148345215</c:v>
                </c:pt>
              </c:numCache>
            </c:numRef>
          </c:xVal>
          <c:yVal>
            <c:numRef>
              <c:f>Full1!$H$18</c:f>
              <c:numCache>
                <c:formatCode>0.000000</c:formatCode>
                <c:ptCount val="1"/>
                <c:pt idx="0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F9-4081-9B29-26D8A736982D}"/>
            </c:ext>
          </c:extLst>
        </c:ser>
        <c:ser>
          <c:idx val="6"/>
          <c:order val="6"/>
          <c:tx>
            <c:v>zd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Full1!$F$33</c:f>
              <c:numCache>
                <c:formatCode>0.000000</c:formatCode>
                <c:ptCount val="1"/>
                <c:pt idx="0">
                  <c:v>0.16684247543565961</c:v>
                </c:pt>
              </c:numCache>
            </c:numRef>
          </c:xVal>
          <c:yVal>
            <c:numRef>
              <c:f>Full1!$F$31</c:f>
              <c:numCache>
                <c:formatCode>0.000000</c:formatCode>
                <c:ptCount val="1"/>
                <c:pt idx="0">
                  <c:v>6.9388939039072284E-18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F9-4081-9B29-26D8A736982D}"/>
            </c:ext>
          </c:extLst>
        </c:ser>
        <c:ser>
          <c:idx val="7"/>
          <c:order val="7"/>
          <c:tx>
            <c:v>zp1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Full1!$G$33</c:f>
              <c:numCache>
                <c:formatCode>0.000000</c:formatCode>
                <c:ptCount val="1"/>
                <c:pt idx="0">
                  <c:v>0.10808389753450791</c:v>
                </c:pt>
              </c:numCache>
            </c:numRef>
          </c:xVal>
          <c:yVal>
            <c:numRef>
              <c:f>Full1!$G$31</c:f>
              <c:numCache>
                <c:formatCode>0.000000</c:formatCode>
                <c:ptCount val="1"/>
                <c:pt idx="0">
                  <c:v>3.2031250000000018E-2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F9-4081-9B29-26D8A736982D}"/>
            </c:ext>
          </c:extLst>
        </c:ser>
        <c:ser>
          <c:idx val="8"/>
          <c:order val="8"/>
          <c:tx>
            <c:v>ccmr</c:v>
          </c:tx>
          <c:spPr>
            <a:ln w="2540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Full1!$G$37:$G$161</c:f>
              <c:numCache>
                <c:formatCode>0.00000</c:formatCode>
                <c:ptCount val="125"/>
                <c:pt idx="0">
                  <c:v>0.10100192064517313</c:v>
                </c:pt>
                <c:pt idx="1">
                  <c:v>9.9667859669727701E-2</c:v>
                </c:pt>
                <c:pt idx="2">
                  <c:v>9.4798263582574108E-2</c:v>
                </c:pt>
                <c:pt idx="3">
                  <c:v>8.8978175430789119E-2</c:v>
                </c:pt>
                <c:pt idx="4">
                  <c:v>8.5252034557177184E-2</c:v>
                </c:pt>
                <c:pt idx="5">
                  <c:v>8.2821282858941594E-2</c:v>
                </c:pt>
                <c:pt idx="6">
                  <c:v>8.2583309762270962E-2</c:v>
                </c:pt>
                <c:pt idx="7">
                  <c:v>8.2524527154106228E-2</c:v>
                </c:pt>
                <c:pt idx="8">
                  <c:v>8.1026294861178252E-2</c:v>
                </c:pt>
                <c:pt idx="9">
                  <c:v>8.0788741594475633E-2</c:v>
                </c:pt>
                <c:pt idx="10">
                  <c:v>7.8258637846213883E-2</c:v>
                </c:pt>
                <c:pt idx="11">
                  <c:v>7.6892219104017279E-2</c:v>
                </c:pt>
                <c:pt idx="12">
                  <c:v>7.6510673287035244E-2</c:v>
                </c:pt>
                <c:pt idx="13">
                  <c:v>7.6462234253237379E-2</c:v>
                </c:pt>
                <c:pt idx="14">
                  <c:v>7.6245140012338161E-2</c:v>
                </c:pt>
                <c:pt idx="15">
                  <c:v>7.621518463884322E-2</c:v>
                </c:pt>
                <c:pt idx="16">
                  <c:v>7.6177185416242479E-2</c:v>
                </c:pt>
                <c:pt idx="17">
                  <c:v>7.608997897683914E-2</c:v>
                </c:pt>
                <c:pt idx="18">
                  <c:v>7.6122027126477601E-2</c:v>
                </c:pt>
                <c:pt idx="19">
                  <c:v>7.6179425125221689E-2</c:v>
                </c:pt>
                <c:pt idx="20">
                  <c:v>7.6199982623363013E-2</c:v>
                </c:pt>
                <c:pt idx="21">
                  <c:v>7.6276858548307361E-2</c:v>
                </c:pt>
                <c:pt idx="22">
                  <c:v>7.6345608369242438E-2</c:v>
                </c:pt>
                <c:pt idx="23">
                  <c:v>7.6447441729690035E-2</c:v>
                </c:pt>
                <c:pt idx="24">
                  <c:v>7.6470251901469222E-2</c:v>
                </c:pt>
                <c:pt idx="25">
                  <c:v>7.6495854701477545E-2</c:v>
                </c:pt>
                <c:pt idx="26">
                  <c:v>7.6517579703695243E-2</c:v>
                </c:pt>
                <c:pt idx="27">
                  <c:v>7.6640430898856596E-2</c:v>
                </c:pt>
                <c:pt idx="28">
                  <c:v>7.7105177545714304E-2</c:v>
                </c:pt>
                <c:pt idx="29">
                  <c:v>7.777339300225064E-2</c:v>
                </c:pt>
                <c:pt idx="30">
                  <c:v>7.815218762309839E-2</c:v>
                </c:pt>
                <c:pt idx="31">
                  <c:v>7.8374287119153715E-2</c:v>
                </c:pt>
                <c:pt idx="32">
                  <c:v>7.8626055521908031E-2</c:v>
                </c:pt>
                <c:pt idx="33">
                  <c:v>7.9364917983778357E-2</c:v>
                </c:pt>
                <c:pt idx="34">
                  <c:v>7.9461143908583332E-2</c:v>
                </c:pt>
                <c:pt idx="35">
                  <c:v>7.9733519701447972E-2</c:v>
                </c:pt>
                <c:pt idx="36">
                  <c:v>7.9911931229274535E-2</c:v>
                </c:pt>
                <c:pt idx="37">
                  <c:v>8.0716699820435486E-2</c:v>
                </c:pt>
                <c:pt idx="38">
                  <c:v>8.0771851935963701E-2</c:v>
                </c:pt>
                <c:pt idx="39">
                  <c:v>8.1144705169934869E-2</c:v>
                </c:pt>
                <c:pt idx="40">
                  <c:v>8.1507015270068608E-2</c:v>
                </c:pt>
                <c:pt idx="41">
                  <c:v>8.1888398442566082E-2</c:v>
                </c:pt>
                <c:pt idx="42">
                  <c:v>8.2352372428262724E-2</c:v>
                </c:pt>
                <c:pt idx="43">
                  <c:v>8.2508099635138318E-2</c:v>
                </c:pt>
                <c:pt idx="44">
                  <c:v>8.2630310036249668E-2</c:v>
                </c:pt>
                <c:pt idx="45">
                  <c:v>8.2640364343173053E-2</c:v>
                </c:pt>
                <c:pt idx="46">
                  <c:v>8.2772310834405532E-2</c:v>
                </c:pt>
                <c:pt idx="47">
                  <c:v>8.4271557083030496E-2</c:v>
                </c:pt>
                <c:pt idx="48">
                  <c:v>8.4841910121096833E-2</c:v>
                </c:pt>
                <c:pt idx="49">
                  <c:v>8.5734417967016335E-2</c:v>
                </c:pt>
                <c:pt idx="50">
                  <c:v>8.7465857255201673E-2</c:v>
                </c:pt>
                <c:pt idx="51">
                  <c:v>8.7948857294770699E-2</c:v>
                </c:pt>
                <c:pt idx="52">
                  <c:v>8.9534219385716526E-2</c:v>
                </c:pt>
                <c:pt idx="53">
                  <c:v>8.9678759452370194E-2</c:v>
                </c:pt>
                <c:pt idx="54">
                  <c:v>8.9680634475616888E-2</c:v>
                </c:pt>
                <c:pt idx="55">
                  <c:v>8.9910803227880851E-2</c:v>
                </c:pt>
                <c:pt idx="56">
                  <c:v>8.9968013317884218E-2</c:v>
                </c:pt>
                <c:pt idx="57">
                  <c:v>9.0436891085312318E-2</c:v>
                </c:pt>
                <c:pt idx="58">
                  <c:v>9.2441713387740779E-2</c:v>
                </c:pt>
                <c:pt idx="59">
                  <c:v>9.2826202708294378E-2</c:v>
                </c:pt>
                <c:pt idx="60">
                  <c:v>9.3927919942180721E-2</c:v>
                </c:pt>
                <c:pt idx="61">
                  <c:v>9.5044580142613896E-2</c:v>
                </c:pt>
                <c:pt idx="62">
                  <c:v>9.6006000518657139E-2</c:v>
                </c:pt>
                <c:pt idx="63">
                  <c:v>9.6013852384048193E-2</c:v>
                </c:pt>
                <c:pt idx="64">
                  <c:v>9.6083498723692137E-2</c:v>
                </c:pt>
                <c:pt idx="65">
                  <c:v>9.6852352251384083E-2</c:v>
                </c:pt>
                <c:pt idx="66">
                  <c:v>9.6903179950982313E-2</c:v>
                </c:pt>
                <c:pt idx="67">
                  <c:v>9.7467200701053747E-2</c:v>
                </c:pt>
                <c:pt idx="68">
                  <c:v>9.7485023873389948E-2</c:v>
                </c:pt>
                <c:pt idx="69">
                  <c:v>9.9194201743395605E-2</c:v>
                </c:pt>
                <c:pt idx="70">
                  <c:v>9.9591590115033629E-2</c:v>
                </c:pt>
                <c:pt idx="71">
                  <c:v>0.10268009129308968</c:v>
                </c:pt>
                <c:pt idx="72">
                  <c:v>0.10406128130477552</c:v>
                </c:pt>
                <c:pt idx="73">
                  <c:v>0.1047956542615824</c:v>
                </c:pt>
                <c:pt idx="74">
                  <c:v>0.10619498096850852</c:v>
                </c:pt>
                <c:pt idx="75">
                  <c:v>0.1062709533525598</c:v>
                </c:pt>
                <c:pt idx="76">
                  <c:v>0.10904019368560278</c:v>
                </c:pt>
                <c:pt idx="77">
                  <c:v>0.10924568779800921</c:v>
                </c:pt>
                <c:pt idx="78">
                  <c:v>0.10930186850604783</c:v>
                </c:pt>
                <c:pt idx="79">
                  <c:v>0.11177792987515095</c:v>
                </c:pt>
                <c:pt idx="80">
                  <c:v>0.11218952503185982</c:v>
                </c:pt>
                <c:pt idx="81">
                  <c:v>0.11303932287825685</c:v>
                </c:pt>
                <c:pt idx="82">
                  <c:v>0.11367360869754443</c:v>
                </c:pt>
                <c:pt idx="83">
                  <c:v>0.11665239116721129</c:v>
                </c:pt>
                <c:pt idx="84">
                  <c:v>0.11743325017290825</c:v>
                </c:pt>
                <c:pt idx="85">
                  <c:v>0.1208139853130908</c:v>
                </c:pt>
                <c:pt idx="86">
                  <c:v>0.12087398930422726</c:v>
                </c:pt>
                <c:pt idx="87">
                  <c:v>0.12245675491417018</c:v>
                </c:pt>
                <c:pt idx="88">
                  <c:v>0.12387447409637224</c:v>
                </c:pt>
                <c:pt idx="89">
                  <c:v>0.12502567506674173</c:v>
                </c:pt>
                <c:pt idx="90">
                  <c:v>0.12744538699211502</c:v>
                </c:pt>
                <c:pt idx="91">
                  <c:v>0.12746120833191574</c:v>
                </c:pt>
                <c:pt idx="92">
                  <c:v>0.12849485125513366</c:v>
                </c:pt>
                <c:pt idx="93">
                  <c:v>0.12955978829283413</c:v>
                </c:pt>
                <c:pt idx="94">
                  <c:v>0.13180474859894278</c:v>
                </c:pt>
                <c:pt idx="95">
                  <c:v>0.13288037618687576</c:v>
                </c:pt>
                <c:pt idx="96">
                  <c:v>0.13328732988920719</c:v>
                </c:pt>
                <c:pt idx="97">
                  <c:v>0.13360334136036647</c:v>
                </c:pt>
                <c:pt idx="98">
                  <c:v>0.13385168483070142</c:v>
                </c:pt>
                <c:pt idx="99">
                  <c:v>0.13590177045745691</c:v>
                </c:pt>
                <c:pt idx="100">
                  <c:v>0.13620030729890703</c:v>
                </c:pt>
                <c:pt idx="101">
                  <c:v>0.13688662425372594</c:v>
                </c:pt>
                <c:pt idx="102">
                  <c:v>0.13980573423769421</c:v>
                </c:pt>
                <c:pt idx="103">
                  <c:v>0.14042622877042887</c:v>
                </c:pt>
                <c:pt idx="104">
                  <c:v>0.14488289389493317</c:v>
                </c:pt>
                <c:pt idx="105">
                  <c:v>0.1450383375140564</c:v>
                </c:pt>
                <c:pt idx="106">
                  <c:v>0.14600952879428414</c:v>
                </c:pt>
                <c:pt idx="107">
                  <c:v>0.14646349440249834</c:v>
                </c:pt>
                <c:pt idx="108">
                  <c:v>0.14886609307367377</c:v>
                </c:pt>
                <c:pt idx="109">
                  <c:v>0.14898317454782142</c:v>
                </c:pt>
                <c:pt idx="110">
                  <c:v>0.14971275036661619</c:v>
                </c:pt>
                <c:pt idx="111">
                  <c:v>0.15037762840730631</c:v>
                </c:pt>
                <c:pt idx="112">
                  <c:v>0.15138416437451913</c:v>
                </c:pt>
                <c:pt idx="113">
                  <c:v>0.15589454403124484</c:v>
                </c:pt>
                <c:pt idx="114">
                  <c:v>0.15694186607197494</c:v>
                </c:pt>
                <c:pt idx="115">
                  <c:v>0.1570026832100169</c:v>
                </c:pt>
                <c:pt idx="116">
                  <c:v>0.16001158671653187</c:v>
                </c:pt>
                <c:pt idx="117">
                  <c:v>0.16390817599100407</c:v>
                </c:pt>
                <c:pt idx="118">
                  <c:v>0.17405027564745706</c:v>
                </c:pt>
                <c:pt idx="119">
                  <c:v>0.17563634654727034</c:v>
                </c:pt>
                <c:pt idx="120">
                  <c:v>0.1779496774108259</c:v>
                </c:pt>
                <c:pt idx="121">
                  <c:v>0.17895777706783017</c:v>
                </c:pt>
                <c:pt idx="122">
                  <c:v>0.1795207608824185</c:v>
                </c:pt>
                <c:pt idx="123">
                  <c:v>0.17977060959954008</c:v>
                </c:pt>
                <c:pt idx="124">
                  <c:v>0.19003495953749439</c:v>
                </c:pt>
              </c:numCache>
            </c:numRef>
          </c:xVal>
          <c:yVal>
            <c:numRef>
              <c:f>Full1!$F$37:$F$161</c:f>
              <c:numCache>
                <c:formatCode>0.0000</c:formatCode>
                <c:ptCount val="125"/>
                <c:pt idx="0">
                  <c:v>3.664997079615339E-2</c:v>
                </c:pt>
                <c:pt idx="1">
                  <c:v>3.7564084289762469E-2</c:v>
                </c:pt>
                <c:pt idx="2">
                  <c:v>4.1061786574206303E-2</c:v>
                </c:pt>
                <c:pt idx="3">
                  <c:v>4.5714610085903537E-2</c:v>
                </c:pt>
                <c:pt idx="4">
                  <c:v>4.9142874219522709E-2</c:v>
                </c:pt>
                <c:pt idx="5">
                  <c:v>5.1707054367552838E-2</c:v>
                </c:pt>
                <c:pt idx="6">
                  <c:v>5.1978304005906972E-2</c:v>
                </c:pt>
                <c:pt idx="7">
                  <c:v>5.2045978549079254E-2</c:v>
                </c:pt>
                <c:pt idx="8">
                  <c:v>5.3875972508985112E-2</c:v>
                </c:pt>
                <c:pt idx="9">
                  <c:v>5.418807990307916E-2</c:v>
                </c:pt>
                <c:pt idx="10">
                  <c:v>5.8141937378074632E-2</c:v>
                </c:pt>
                <c:pt idx="11">
                  <c:v>6.1363695995762219E-2</c:v>
                </c:pt>
                <c:pt idx="12">
                  <c:v>6.2731380342692128E-2</c:v>
                </c:pt>
                <c:pt idx="13">
                  <c:v>6.2943858754219428E-2</c:v>
                </c:pt>
                <c:pt idx="14">
                  <c:v>6.413473769950831E-2</c:v>
                </c:pt>
                <c:pt idx="15">
                  <c:v>6.4354670064935574E-2</c:v>
                </c:pt>
                <c:pt idx="16">
                  <c:v>6.467539964137492E-2</c:v>
                </c:pt>
                <c:pt idx="17">
                  <c:v>6.6110528346120745E-2</c:v>
                </c:pt>
                <c:pt idx="18">
                  <c:v>6.7323354524780027E-2</c:v>
                </c:pt>
                <c:pt idx="19">
                  <c:v>6.7976797028931751E-2</c:v>
                </c:pt>
                <c:pt idx="20">
                  <c:v>6.8155301711197366E-2</c:v>
                </c:pt>
                <c:pt idx="21">
                  <c:v>6.8707858775360064E-2</c:v>
                </c:pt>
                <c:pt idx="22">
                  <c:v>6.9111326361149597E-2</c:v>
                </c:pt>
                <c:pt idx="23">
                  <c:v>6.9620138617548011E-2</c:v>
                </c:pt>
                <c:pt idx="24">
                  <c:v>6.9723795225665117E-2</c:v>
                </c:pt>
                <c:pt idx="25">
                  <c:v>6.9836544235120618E-2</c:v>
                </c:pt>
                <c:pt idx="26">
                  <c:v>6.9929486741377389E-2</c:v>
                </c:pt>
                <c:pt idx="27">
                  <c:v>7.041603750299627E-2</c:v>
                </c:pt>
                <c:pt idx="28">
                  <c:v>7.188938601334674E-2</c:v>
                </c:pt>
                <c:pt idx="29">
                  <c:v>7.3506683696551639E-2</c:v>
                </c:pt>
                <c:pt idx="30">
                  <c:v>7.4283890111087839E-2</c:v>
                </c:pt>
                <c:pt idx="31">
                  <c:v>7.4707763074700173E-2</c:v>
                </c:pt>
                <c:pt idx="32">
                  <c:v>7.516508108114188E-2</c:v>
                </c:pt>
                <c:pt idx="33">
                  <c:v>7.6395236043050499E-2</c:v>
                </c:pt>
                <c:pt idx="34">
                  <c:v>7.6545346468052958E-2</c:v>
                </c:pt>
                <c:pt idx="35">
                  <c:v>7.6959715882008936E-2</c:v>
                </c:pt>
                <c:pt idx="36">
                  <c:v>7.7223341734014614E-2</c:v>
                </c:pt>
                <c:pt idx="37">
                  <c:v>7.8347432565245984E-2</c:v>
                </c:pt>
                <c:pt idx="38">
                  <c:v>7.842103771309715E-2</c:v>
                </c:pt>
                <c:pt idx="39">
                  <c:v>7.8908624065563981E-2</c:v>
                </c:pt>
                <c:pt idx="40">
                  <c:v>7.936701697544879E-2</c:v>
                </c:pt>
                <c:pt idx="41">
                  <c:v>7.9834849852321116E-2</c:v>
                </c:pt>
                <c:pt idx="42">
                  <c:v>8.0385813477211743E-2</c:v>
                </c:pt>
                <c:pt idx="43">
                  <c:v>8.0566639110987215E-2</c:v>
                </c:pt>
                <c:pt idx="44">
                  <c:v>8.0707190369037729E-2</c:v>
                </c:pt>
                <c:pt idx="45">
                  <c:v>8.0718701734001294E-2</c:v>
                </c:pt>
                <c:pt idx="46">
                  <c:v>8.0869054359196349E-2</c:v>
                </c:pt>
                <c:pt idx="47">
                  <c:v>8.2494593101407651E-2</c:v>
                </c:pt>
                <c:pt idx="48">
                  <c:v>8.307865907649821E-2</c:v>
                </c:pt>
                <c:pt idx="49">
                  <c:v>8.3961236842913026E-2</c:v>
                </c:pt>
                <c:pt idx="50">
                  <c:v>8.5581851097635733E-2</c:v>
                </c:pt>
                <c:pt idx="51">
                  <c:v>8.6015576300984123E-2</c:v>
                </c:pt>
                <c:pt idx="52">
                  <c:v>8.7392043820158888E-2</c:v>
                </c:pt>
                <c:pt idx="53">
                  <c:v>8.7514269491382149E-2</c:v>
                </c:pt>
                <c:pt idx="54">
                  <c:v>8.7515851706276071E-2</c:v>
                </c:pt>
                <c:pt idx="55">
                  <c:v>8.7709436898224899E-2</c:v>
                </c:pt>
                <c:pt idx="56">
                  <c:v>8.7757359158015927E-2</c:v>
                </c:pt>
                <c:pt idx="57">
                  <c:v>8.8147279582459589E-2</c:v>
                </c:pt>
                <c:pt idx="58">
                  <c:v>8.9762512344834691E-2</c:v>
                </c:pt>
                <c:pt idx="59">
                  <c:v>9.0063589984431633E-2</c:v>
                </c:pt>
                <c:pt idx="60">
                  <c:v>9.0912532887911485E-2</c:v>
                </c:pt>
                <c:pt idx="61">
                  <c:v>9.175379919157553E-2</c:v>
                </c:pt>
                <c:pt idx="62">
                  <c:v>9.2464052302892855E-2</c:v>
                </c:pt>
                <c:pt idx="63">
                  <c:v>9.2469802516793917E-2</c:v>
                </c:pt>
                <c:pt idx="64">
                  <c:v>9.2520772439081092E-2</c:v>
                </c:pt>
                <c:pt idx="65">
                  <c:v>9.3079401725608177E-2</c:v>
                </c:pt>
                <c:pt idx="66">
                  <c:v>9.3116076545519955E-2</c:v>
                </c:pt>
                <c:pt idx="67">
                  <c:v>9.3520999880414818E-2</c:v>
                </c:pt>
                <c:pt idx="68">
                  <c:v>9.3533735353590539E-2</c:v>
                </c:pt>
                <c:pt idx="69">
                  <c:v>9.4738871778465433E-2</c:v>
                </c:pt>
                <c:pt idx="70">
                  <c:v>9.5014727846549601E-2</c:v>
                </c:pt>
                <c:pt idx="71">
                  <c:v>9.7109352614807021E-2</c:v>
                </c:pt>
                <c:pt idx="72">
                  <c:v>9.8020727033680796E-2</c:v>
                </c:pt>
                <c:pt idx="73">
                  <c:v>9.84996071002254E-2</c:v>
                </c:pt>
                <c:pt idx="74">
                  <c:v>9.9401914830999971E-2</c:v>
                </c:pt>
                <c:pt idx="75">
                  <c:v>9.9450537161312413E-2</c:v>
                </c:pt>
                <c:pt idx="76">
                  <c:v>0.10119912864767695</c:v>
                </c:pt>
                <c:pt idx="77">
                  <c:v>0.1013271452879925</c:v>
                </c:pt>
                <c:pt idx="78">
                  <c:v>0.10136210461606611</c:v>
                </c:pt>
                <c:pt idx="79">
                  <c:v>0.10288678242829104</c:v>
                </c:pt>
                <c:pt idx="80">
                  <c:v>0.1031373292537295</c:v>
                </c:pt>
                <c:pt idx="81">
                  <c:v>0.10365216387510519</c:v>
                </c:pt>
                <c:pt idx="82">
                  <c:v>0.10403434363900615</c:v>
                </c:pt>
                <c:pt idx="83">
                  <c:v>0.10580688262024635</c:v>
                </c:pt>
                <c:pt idx="84">
                  <c:v>0.10626585593159431</c:v>
                </c:pt>
                <c:pt idx="85">
                  <c:v>0.10822848502919537</c:v>
                </c:pt>
                <c:pt idx="86">
                  <c:v>0.10826298085268823</c:v>
                </c:pt>
                <c:pt idx="87">
                  <c:v>0.10916892551333023</c:v>
                </c:pt>
                <c:pt idx="88">
                  <c:v>0.10997415826665401</c:v>
                </c:pt>
                <c:pt idx="89">
                  <c:v>0.11062390585086503</c:v>
                </c:pt>
                <c:pt idx="90">
                  <c:v>0.11197834628670938</c:v>
                </c:pt>
                <c:pt idx="91">
                  <c:v>0.11198715429741818</c:v>
                </c:pt>
                <c:pt idx="92">
                  <c:v>0.11256130550403269</c:v>
                </c:pt>
                <c:pt idx="93">
                  <c:v>0.11315023730569444</c:v>
                </c:pt>
                <c:pt idx="94">
                  <c:v>0.11438352593489601</c:v>
                </c:pt>
                <c:pt idx="95">
                  <c:v>0.11497067586226903</c:v>
                </c:pt>
                <c:pt idx="96">
                  <c:v>0.11519221064722342</c:v>
                </c:pt>
                <c:pt idx="97">
                  <c:v>0.11536401329189411</c:v>
                </c:pt>
                <c:pt idx="98">
                  <c:v>0.11549889067039293</c:v>
                </c:pt>
                <c:pt idx="99">
                  <c:v>0.11660783574025464</c:v>
                </c:pt>
                <c:pt idx="100">
                  <c:v>0.11676867504728924</c:v>
                </c:pt>
                <c:pt idx="101">
                  <c:v>0.11713783052522896</c:v>
                </c:pt>
                <c:pt idx="102">
                  <c:v>0.11869893408166889</c:v>
                </c:pt>
                <c:pt idx="103">
                  <c:v>0.11902896431789857</c:v>
                </c:pt>
                <c:pt idx="104">
                  <c:v>0.12138224950738308</c:v>
                </c:pt>
                <c:pt idx="105">
                  <c:v>0.12146381375902336</c:v>
                </c:pt>
                <c:pt idx="106">
                  <c:v>0.12197267083147301</c:v>
                </c:pt>
                <c:pt idx="107">
                  <c:v>0.1222100924113016</c:v>
                </c:pt>
                <c:pt idx="108">
                  <c:v>0.12346219219458435</c:v>
                </c:pt>
                <c:pt idx="109">
                  <c:v>0.12352302254947803</c:v>
                </c:pt>
                <c:pt idx="110">
                  <c:v>0.12390169995144379</c:v>
                </c:pt>
                <c:pt idx="111">
                  <c:v>0.12424623720021519</c:v>
                </c:pt>
                <c:pt idx="112">
                  <c:v>0.12476682653324273</c:v>
                </c:pt>
                <c:pt idx="113">
                  <c:v>0.12708570815379225</c:v>
                </c:pt>
                <c:pt idx="114">
                  <c:v>0.12762108017134308</c:v>
                </c:pt>
                <c:pt idx="115">
                  <c:v>0.12765213481855567</c:v>
                </c:pt>
                <c:pt idx="116">
                  <c:v>0.12918405090622978</c:v>
                </c:pt>
                <c:pt idx="117">
                  <c:v>0.13115551837288991</c:v>
                </c:pt>
                <c:pt idx="118">
                  <c:v>0.13622936539859029</c:v>
                </c:pt>
                <c:pt idx="119">
                  <c:v>0.13701615541584522</c:v>
                </c:pt>
                <c:pt idx="120">
                  <c:v>0.13816078603399873</c:v>
                </c:pt>
                <c:pt idx="121">
                  <c:v>0.13865854183854087</c:v>
                </c:pt>
                <c:pt idx="122">
                  <c:v>0.13893624886960371</c:v>
                </c:pt>
                <c:pt idx="123">
                  <c:v>0.13905943231551143</c:v>
                </c:pt>
                <c:pt idx="124">
                  <c:v>0.14408983740294731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DF9-4081-9B29-26D8A736982D}"/>
            </c:ext>
          </c:extLst>
        </c:ser>
        <c:ser>
          <c:idx val="9"/>
          <c:order val="9"/>
          <c:tx>
            <c:v>fe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Full1!$G$51:$G$161</c:f>
              <c:numCache>
                <c:formatCode>0.00000</c:formatCode>
                <c:ptCount val="111"/>
                <c:pt idx="0">
                  <c:v>7.6245140012338161E-2</c:v>
                </c:pt>
                <c:pt idx="1">
                  <c:v>7.621518463884322E-2</c:v>
                </c:pt>
                <c:pt idx="2">
                  <c:v>7.6177185416242479E-2</c:v>
                </c:pt>
                <c:pt idx="3">
                  <c:v>7.608997897683914E-2</c:v>
                </c:pt>
                <c:pt idx="4">
                  <c:v>7.6122027126477601E-2</c:v>
                </c:pt>
                <c:pt idx="5">
                  <c:v>7.6179425125221689E-2</c:v>
                </c:pt>
                <c:pt idx="6">
                  <c:v>7.6199982623363013E-2</c:v>
                </c:pt>
                <c:pt idx="7">
                  <c:v>7.6276858548307361E-2</c:v>
                </c:pt>
                <c:pt idx="8">
                  <c:v>7.6345608369242438E-2</c:v>
                </c:pt>
                <c:pt idx="9">
                  <c:v>7.6447441729690035E-2</c:v>
                </c:pt>
                <c:pt idx="10">
                  <c:v>7.6470251901469222E-2</c:v>
                </c:pt>
                <c:pt idx="11">
                  <c:v>7.6495854701477545E-2</c:v>
                </c:pt>
                <c:pt idx="12">
                  <c:v>7.6517579703695243E-2</c:v>
                </c:pt>
                <c:pt idx="13">
                  <c:v>7.6640430898856596E-2</c:v>
                </c:pt>
                <c:pt idx="14">
                  <c:v>7.7105177545714304E-2</c:v>
                </c:pt>
                <c:pt idx="15">
                  <c:v>7.777339300225064E-2</c:v>
                </c:pt>
                <c:pt idx="16">
                  <c:v>7.815218762309839E-2</c:v>
                </c:pt>
                <c:pt idx="17">
                  <c:v>7.8374287119153715E-2</c:v>
                </c:pt>
                <c:pt idx="18">
                  <c:v>7.8626055521908031E-2</c:v>
                </c:pt>
                <c:pt idx="19">
                  <c:v>7.9364917983778357E-2</c:v>
                </c:pt>
                <c:pt idx="20">
                  <c:v>7.9461143908583332E-2</c:v>
                </c:pt>
                <c:pt idx="21">
                  <c:v>7.9733519701447972E-2</c:v>
                </c:pt>
                <c:pt idx="22">
                  <c:v>7.9911931229274535E-2</c:v>
                </c:pt>
                <c:pt idx="23">
                  <c:v>8.0716699820435486E-2</c:v>
                </c:pt>
                <c:pt idx="24">
                  <c:v>8.0771851935963701E-2</c:v>
                </c:pt>
                <c:pt idx="25">
                  <c:v>8.1144705169934869E-2</c:v>
                </c:pt>
                <c:pt idx="26">
                  <c:v>8.1507015270068608E-2</c:v>
                </c:pt>
                <c:pt idx="27">
                  <c:v>8.1888398442566082E-2</c:v>
                </c:pt>
                <c:pt idx="28">
                  <c:v>8.2352372428262724E-2</c:v>
                </c:pt>
                <c:pt idx="29">
                  <c:v>8.2508099635138318E-2</c:v>
                </c:pt>
                <c:pt idx="30">
                  <c:v>8.2630310036249668E-2</c:v>
                </c:pt>
                <c:pt idx="31">
                  <c:v>8.2640364343173053E-2</c:v>
                </c:pt>
                <c:pt idx="32">
                  <c:v>8.2772310834405532E-2</c:v>
                </c:pt>
                <c:pt idx="33">
                  <c:v>8.4271557083030496E-2</c:v>
                </c:pt>
                <c:pt idx="34">
                  <c:v>8.4841910121096833E-2</c:v>
                </c:pt>
                <c:pt idx="35">
                  <c:v>8.5734417967016335E-2</c:v>
                </c:pt>
                <c:pt idx="36">
                  <c:v>8.7465857255201673E-2</c:v>
                </c:pt>
                <c:pt idx="37">
                  <c:v>8.7948857294770699E-2</c:v>
                </c:pt>
                <c:pt idx="38">
                  <c:v>8.9534219385716526E-2</c:v>
                </c:pt>
                <c:pt idx="39">
                  <c:v>8.9678759452370194E-2</c:v>
                </c:pt>
                <c:pt idx="40">
                  <c:v>8.9680634475616888E-2</c:v>
                </c:pt>
                <c:pt idx="41">
                  <c:v>8.9910803227880851E-2</c:v>
                </c:pt>
                <c:pt idx="42">
                  <c:v>8.9968013317884218E-2</c:v>
                </c:pt>
                <c:pt idx="43">
                  <c:v>9.0436891085312318E-2</c:v>
                </c:pt>
                <c:pt idx="44">
                  <c:v>9.2441713387740779E-2</c:v>
                </c:pt>
                <c:pt idx="45">
                  <c:v>9.2826202708294378E-2</c:v>
                </c:pt>
                <c:pt idx="46">
                  <c:v>9.3927919942180721E-2</c:v>
                </c:pt>
                <c:pt idx="47">
                  <c:v>9.5044580142613896E-2</c:v>
                </c:pt>
                <c:pt idx="48">
                  <c:v>9.6006000518657139E-2</c:v>
                </c:pt>
                <c:pt idx="49">
                  <c:v>9.6013852384048193E-2</c:v>
                </c:pt>
                <c:pt idx="50">
                  <c:v>9.6083498723692137E-2</c:v>
                </c:pt>
                <c:pt idx="51">
                  <c:v>9.6852352251384083E-2</c:v>
                </c:pt>
                <c:pt idx="52">
                  <c:v>9.6903179950982313E-2</c:v>
                </c:pt>
                <c:pt idx="53">
                  <c:v>9.7467200701053747E-2</c:v>
                </c:pt>
                <c:pt idx="54">
                  <c:v>9.7485023873389948E-2</c:v>
                </c:pt>
                <c:pt idx="55">
                  <c:v>9.9194201743395605E-2</c:v>
                </c:pt>
                <c:pt idx="56">
                  <c:v>9.9591590115033629E-2</c:v>
                </c:pt>
                <c:pt idx="57">
                  <c:v>0.10268009129308968</c:v>
                </c:pt>
                <c:pt idx="58">
                  <c:v>0.10406128130477552</c:v>
                </c:pt>
                <c:pt idx="59">
                  <c:v>0.1047956542615824</c:v>
                </c:pt>
                <c:pt idx="60">
                  <c:v>0.10619498096850852</c:v>
                </c:pt>
                <c:pt idx="61">
                  <c:v>0.1062709533525598</c:v>
                </c:pt>
                <c:pt idx="62">
                  <c:v>0.10904019368560278</c:v>
                </c:pt>
                <c:pt idx="63">
                  <c:v>0.10924568779800921</c:v>
                </c:pt>
                <c:pt idx="64">
                  <c:v>0.10930186850604783</c:v>
                </c:pt>
                <c:pt idx="65">
                  <c:v>0.11177792987515095</c:v>
                </c:pt>
                <c:pt idx="66">
                  <c:v>0.11218952503185982</c:v>
                </c:pt>
                <c:pt idx="67">
                  <c:v>0.11303932287825685</c:v>
                </c:pt>
                <c:pt idx="68">
                  <c:v>0.11367360869754443</c:v>
                </c:pt>
                <c:pt idx="69">
                  <c:v>0.11665239116721129</c:v>
                </c:pt>
                <c:pt idx="70">
                  <c:v>0.11743325017290825</c:v>
                </c:pt>
                <c:pt idx="71">
                  <c:v>0.1208139853130908</c:v>
                </c:pt>
                <c:pt idx="72">
                  <c:v>0.12087398930422726</c:v>
                </c:pt>
                <c:pt idx="73">
                  <c:v>0.12245675491417018</c:v>
                </c:pt>
                <c:pt idx="74">
                  <c:v>0.12387447409637224</c:v>
                </c:pt>
                <c:pt idx="75">
                  <c:v>0.12502567506674173</c:v>
                </c:pt>
                <c:pt idx="76">
                  <c:v>0.12744538699211502</c:v>
                </c:pt>
                <c:pt idx="77">
                  <c:v>0.12746120833191574</c:v>
                </c:pt>
                <c:pt idx="78">
                  <c:v>0.12849485125513366</c:v>
                </c:pt>
                <c:pt idx="79">
                  <c:v>0.12955978829283413</c:v>
                </c:pt>
                <c:pt idx="80">
                  <c:v>0.13180474859894278</c:v>
                </c:pt>
                <c:pt idx="81">
                  <c:v>0.13288037618687576</c:v>
                </c:pt>
                <c:pt idx="82">
                  <c:v>0.13328732988920719</c:v>
                </c:pt>
                <c:pt idx="83">
                  <c:v>0.13360334136036647</c:v>
                </c:pt>
                <c:pt idx="84">
                  <c:v>0.13385168483070142</c:v>
                </c:pt>
                <c:pt idx="85">
                  <c:v>0.13590177045745691</c:v>
                </c:pt>
                <c:pt idx="86">
                  <c:v>0.13620030729890703</c:v>
                </c:pt>
                <c:pt idx="87">
                  <c:v>0.13688662425372594</c:v>
                </c:pt>
                <c:pt idx="88">
                  <c:v>0.13980573423769421</c:v>
                </c:pt>
                <c:pt idx="89">
                  <c:v>0.14042622877042887</c:v>
                </c:pt>
                <c:pt idx="90">
                  <c:v>0.14488289389493317</c:v>
                </c:pt>
                <c:pt idx="91">
                  <c:v>0.1450383375140564</c:v>
                </c:pt>
                <c:pt idx="92">
                  <c:v>0.14600952879428414</c:v>
                </c:pt>
                <c:pt idx="93">
                  <c:v>0.14646349440249834</c:v>
                </c:pt>
                <c:pt idx="94">
                  <c:v>0.14886609307367377</c:v>
                </c:pt>
                <c:pt idx="95">
                  <c:v>0.14898317454782142</c:v>
                </c:pt>
                <c:pt idx="96">
                  <c:v>0.14971275036661619</c:v>
                </c:pt>
                <c:pt idx="97">
                  <c:v>0.15037762840730631</c:v>
                </c:pt>
                <c:pt idx="98">
                  <c:v>0.15138416437451913</c:v>
                </c:pt>
                <c:pt idx="99">
                  <c:v>0.15589454403124484</c:v>
                </c:pt>
                <c:pt idx="100">
                  <c:v>0.15694186607197494</c:v>
                </c:pt>
                <c:pt idx="101">
                  <c:v>0.1570026832100169</c:v>
                </c:pt>
                <c:pt idx="102">
                  <c:v>0.16001158671653187</c:v>
                </c:pt>
                <c:pt idx="103">
                  <c:v>0.16390817599100407</c:v>
                </c:pt>
                <c:pt idx="104">
                  <c:v>0.17405027564745706</c:v>
                </c:pt>
                <c:pt idx="105">
                  <c:v>0.17563634654727034</c:v>
                </c:pt>
                <c:pt idx="106">
                  <c:v>0.1779496774108259</c:v>
                </c:pt>
                <c:pt idx="107">
                  <c:v>0.17895777706783017</c:v>
                </c:pt>
                <c:pt idx="108">
                  <c:v>0.1795207608824185</c:v>
                </c:pt>
                <c:pt idx="109">
                  <c:v>0.17977060959954008</c:v>
                </c:pt>
                <c:pt idx="110">
                  <c:v>0.19003495953749439</c:v>
                </c:pt>
              </c:numCache>
            </c:numRef>
          </c:xVal>
          <c:yVal>
            <c:numRef>
              <c:f>Full1!$F$51:$F$161</c:f>
              <c:numCache>
                <c:formatCode>0.0000</c:formatCode>
                <c:ptCount val="111"/>
                <c:pt idx="0">
                  <c:v>6.413473769950831E-2</c:v>
                </c:pt>
                <c:pt idx="1">
                  <c:v>6.4354670064935574E-2</c:v>
                </c:pt>
                <c:pt idx="2">
                  <c:v>6.467539964137492E-2</c:v>
                </c:pt>
                <c:pt idx="3">
                  <c:v>6.6110528346120745E-2</c:v>
                </c:pt>
                <c:pt idx="4">
                  <c:v>6.7323354524780027E-2</c:v>
                </c:pt>
                <c:pt idx="5">
                  <c:v>6.7976797028931751E-2</c:v>
                </c:pt>
                <c:pt idx="6">
                  <c:v>6.8155301711197366E-2</c:v>
                </c:pt>
                <c:pt idx="7">
                  <c:v>6.8707858775360064E-2</c:v>
                </c:pt>
                <c:pt idx="8">
                  <c:v>6.9111326361149597E-2</c:v>
                </c:pt>
                <c:pt idx="9">
                  <c:v>6.9620138617548011E-2</c:v>
                </c:pt>
                <c:pt idx="10">
                  <c:v>6.9723795225665117E-2</c:v>
                </c:pt>
                <c:pt idx="11">
                  <c:v>6.9836544235120618E-2</c:v>
                </c:pt>
                <c:pt idx="12">
                  <c:v>6.9929486741377389E-2</c:v>
                </c:pt>
                <c:pt idx="13">
                  <c:v>7.041603750299627E-2</c:v>
                </c:pt>
                <c:pt idx="14">
                  <c:v>7.188938601334674E-2</c:v>
                </c:pt>
                <c:pt idx="15">
                  <c:v>7.3506683696551639E-2</c:v>
                </c:pt>
                <c:pt idx="16">
                  <c:v>7.4283890111087839E-2</c:v>
                </c:pt>
                <c:pt idx="17">
                  <c:v>7.4707763074700173E-2</c:v>
                </c:pt>
                <c:pt idx="18">
                  <c:v>7.516508108114188E-2</c:v>
                </c:pt>
                <c:pt idx="19">
                  <c:v>7.6395236043050499E-2</c:v>
                </c:pt>
                <c:pt idx="20">
                  <c:v>7.6545346468052958E-2</c:v>
                </c:pt>
                <c:pt idx="21">
                  <c:v>7.6959715882008936E-2</c:v>
                </c:pt>
                <c:pt idx="22">
                  <c:v>7.7223341734014614E-2</c:v>
                </c:pt>
                <c:pt idx="23">
                  <c:v>7.8347432565245984E-2</c:v>
                </c:pt>
                <c:pt idx="24">
                  <c:v>7.842103771309715E-2</c:v>
                </c:pt>
                <c:pt idx="25">
                  <c:v>7.8908624065563981E-2</c:v>
                </c:pt>
                <c:pt idx="26">
                  <c:v>7.936701697544879E-2</c:v>
                </c:pt>
                <c:pt idx="27">
                  <c:v>7.9834849852321116E-2</c:v>
                </c:pt>
                <c:pt idx="28">
                  <c:v>8.0385813477211743E-2</c:v>
                </c:pt>
                <c:pt idx="29">
                  <c:v>8.0566639110987215E-2</c:v>
                </c:pt>
                <c:pt idx="30">
                  <c:v>8.0707190369037729E-2</c:v>
                </c:pt>
                <c:pt idx="31">
                  <c:v>8.0718701734001294E-2</c:v>
                </c:pt>
                <c:pt idx="32">
                  <c:v>8.0869054359196349E-2</c:v>
                </c:pt>
                <c:pt idx="33">
                  <c:v>8.2494593101407651E-2</c:v>
                </c:pt>
                <c:pt idx="34">
                  <c:v>8.307865907649821E-2</c:v>
                </c:pt>
                <c:pt idx="35">
                  <c:v>8.3961236842913026E-2</c:v>
                </c:pt>
                <c:pt idx="36">
                  <c:v>8.5581851097635733E-2</c:v>
                </c:pt>
                <c:pt idx="37">
                  <c:v>8.6015576300984123E-2</c:v>
                </c:pt>
                <c:pt idx="38">
                  <c:v>8.7392043820158888E-2</c:v>
                </c:pt>
                <c:pt idx="39">
                  <c:v>8.7514269491382149E-2</c:v>
                </c:pt>
                <c:pt idx="40">
                  <c:v>8.7515851706276071E-2</c:v>
                </c:pt>
                <c:pt idx="41">
                  <c:v>8.7709436898224899E-2</c:v>
                </c:pt>
                <c:pt idx="42">
                  <c:v>8.7757359158015927E-2</c:v>
                </c:pt>
                <c:pt idx="43">
                  <c:v>8.8147279582459589E-2</c:v>
                </c:pt>
                <c:pt idx="44">
                  <c:v>8.9762512344834691E-2</c:v>
                </c:pt>
                <c:pt idx="45">
                  <c:v>9.0063589984431633E-2</c:v>
                </c:pt>
                <c:pt idx="46">
                  <c:v>9.0912532887911485E-2</c:v>
                </c:pt>
                <c:pt idx="47">
                  <c:v>9.175379919157553E-2</c:v>
                </c:pt>
                <c:pt idx="48">
                  <c:v>9.2464052302892855E-2</c:v>
                </c:pt>
                <c:pt idx="49">
                  <c:v>9.2469802516793917E-2</c:v>
                </c:pt>
                <c:pt idx="50">
                  <c:v>9.2520772439081092E-2</c:v>
                </c:pt>
                <c:pt idx="51">
                  <c:v>9.3079401725608177E-2</c:v>
                </c:pt>
                <c:pt idx="52">
                  <c:v>9.3116076545519955E-2</c:v>
                </c:pt>
                <c:pt idx="53">
                  <c:v>9.3520999880414818E-2</c:v>
                </c:pt>
                <c:pt idx="54">
                  <c:v>9.3533735353590539E-2</c:v>
                </c:pt>
                <c:pt idx="55">
                  <c:v>9.4738871778465433E-2</c:v>
                </c:pt>
                <c:pt idx="56">
                  <c:v>9.5014727846549601E-2</c:v>
                </c:pt>
                <c:pt idx="57">
                  <c:v>9.7109352614807021E-2</c:v>
                </c:pt>
                <c:pt idx="58">
                  <c:v>9.8020727033680796E-2</c:v>
                </c:pt>
                <c:pt idx="59">
                  <c:v>9.84996071002254E-2</c:v>
                </c:pt>
                <c:pt idx="60">
                  <c:v>9.9401914830999971E-2</c:v>
                </c:pt>
                <c:pt idx="61">
                  <c:v>9.9450537161312413E-2</c:v>
                </c:pt>
                <c:pt idx="62">
                  <c:v>0.10119912864767695</c:v>
                </c:pt>
                <c:pt idx="63">
                  <c:v>0.1013271452879925</c:v>
                </c:pt>
                <c:pt idx="64">
                  <c:v>0.10136210461606611</c:v>
                </c:pt>
                <c:pt idx="65">
                  <c:v>0.10288678242829104</c:v>
                </c:pt>
                <c:pt idx="66">
                  <c:v>0.1031373292537295</c:v>
                </c:pt>
                <c:pt idx="67">
                  <c:v>0.10365216387510519</c:v>
                </c:pt>
                <c:pt idx="68">
                  <c:v>0.10403434363900615</c:v>
                </c:pt>
                <c:pt idx="69">
                  <c:v>0.10580688262024635</c:v>
                </c:pt>
                <c:pt idx="70">
                  <c:v>0.10626585593159431</c:v>
                </c:pt>
                <c:pt idx="71">
                  <c:v>0.10822848502919537</c:v>
                </c:pt>
                <c:pt idx="72">
                  <c:v>0.10826298085268823</c:v>
                </c:pt>
                <c:pt idx="73">
                  <c:v>0.10916892551333023</c:v>
                </c:pt>
                <c:pt idx="74">
                  <c:v>0.10997415826665401</c:v>
                </c:pt>
                <c:pt idx="75">
                  <c:v>0.11062390585086503</c:v>
                </c:pt>
                <c:pt idx="76">
                  <c:v>0.11197834628670938</c:v>
                </c:pt>
                <c:pt idx="77">
                  <c:v>0.11198715429741818</c:v>
                </c:pt>
                <c:pt idx="78">
                  <c:v>0.11256130550403269</c:v>
                </c:pt>
                <c:pt idx="79">
                  <c:v>0.11315023730569444</c:v>
                </c:pt>
                <c:pt idx="80">
                  <c:v>0.11438352593489601</c:v>
                </c:pt>
                <c:pt idx="81">
                  <c:v>0.11497067586226903</c:v>
                </c:pt>
                <c:pt idx="82">
                  <c:v>0.11519221064722342</c:v>
                </c:pt>
                <c:pt idx="83">
                  <c:v>0.11536401329189411</c:v>
                </c:pt>
                <c:pt idx="84">
                  <c:v>0.11549889067039293</c:v>
                </c:pt>
                <c:pt idx="85">
                  <c:v>0.11660783574025464</c:v>
                </c:pt>
                <c:pt idx="86">
                  <c:v>0.11676867504728924</c:v>
                </c:pt>
                <c:pt idx="87">
                  <c:v>0.11713783052522896</c:v>
                </c:pt>
                <c:pt idx="88">
                  <c:v>0.11869893408166889</c:v>
                </c:pt>
                <c:pt idx="89">
                  <c:v>0.11902896431789857</c:v>
                </c:pt>
                <c:pt idx="90">
                  <c:v>0.12138224950738308</c:v>
                </c:pt>
                <c:pt idx="91">
                  <c:v>0.12146381375902336</c:v>
                </c:pt>
                <c:pt idx="92">
                  <c:v>0.12197267083147301</c:v>
                </c:pt>
                <c:pt idx="93">
                  <c:v>0.1222100924113016</c:v>
                </c:pt>
                <c:pt idx="94">
                  <c:v>0.12346219219458435</c:v>
                </c:pt>
                <c:pt idx="95">
                  <c:v>0.12352302254947803</c:v>
                </c:pt>
                <c:pt idx="96">
                  <c:v>0.12390169995144379</c:v>
                </c:pt>
                <c:pt idx="97">
                  <c:v>0.12424623720021519</c:v>
                </c:pt>
                <c:pt idx="98">
                  <c:v>0.12476682653324273</c:v>
                </c:pt>
                <c:pt idx="99">
                  <c:v>0.12708570815379225</c:v>
                </c:pt>
                <c:pt idx="100">
                  <c:v>0.12762108017134308</c:v>
                </c:pt>
                <c:pt idx="101">
                  <c:v>0.12765213481855567</c:v>
                </c:pt>
                <c:pt idx="102">
                  <c:v>0.12918405090622978</c:v>
                </c:pt>
                <c:pt idx="103">
                  <c:v>0.13115551837288991</c:v>
                </c:pt>
                <c:pt idx="104">
                  <c:v>0.13622936539859029</c:v>
                </c:pt>
                <c:pt idx="105">
                  <c:v>0.13701615541584522</c:v>
                </c:pt>
                <c:pt idx="106">
                  <c:v>0.13816078603399873</c:v>
                </c:pt>
                <c:pt idx="107">
                  <c:v>0.13865854183854087</c:v>
                </c:pt>
                <c:pt idx="108">
                  <c:v>0.13893624886960371</c:v>
                </c:pt>
                <c:pt idx="109">
                  <c:v>0.13905943231551143</c:v>
                </c:pt>
                <c:pt idx="110">
                  <c:v>0.14408983740294731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DF9-4081-9B29-26D8A736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70624"/>
        <c:axId val="2065401152"/>
      </c:scatterChart>
      <c:valAx>
        <c:axId val="178517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01152"/>
        <c:crosses val="autoZero"/>
        <c:crossBetween val="midCat"/>
      </c:valAx>
      <c:valAx>
        <c:axId val="20654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7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18</xdr:row>
      <xdr:rowOff>46383</xdr:rowOff>
    </xdr:from>
    <xdr:to>
      <xdr:col>18</xdr:col>
      <xdr:colOff>602973</xdr:colOff>
      <xdr:row>39</xdr:row>
      <xdr:rowOff>26505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54BC9B00-4832-4092-BAD0-8EF87A871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B7F9-0F48-4FC8-A346-68FF86158445}">
  <dimension ref="A1:Q161"/>
  <sheetViews>
    <sheetView tabSelected="1" zoomScale="115" zoomScaleNormal="115" workbookViewId="0">
      <selection activeCell="B10" sqref="B10:H10"/>
    </sheetView>
  </sheetViews>
  <sheetFormatPr baseColWidth="10" defaultColWidth="8.88671875" defaultRowHeight="14.4" x14ac:dyDescent="0.3"/>
  <cols>
    <col min="2" max="3" width="11.109375" customWidth="1"/>
    <col min="4" max="4" width="11.44140625" customWidth="1"/>
    <col min="6" max="6" width="11.5546875" customWidth="1"/>
    <col min="7" max="7" width="12.44140625" customWidth="1"/>
    <col min="8" max="8" width="11.44140625" customWidth="1"/>
    <col min="9" max="9" width="10.88671875" bestFit="1" customWidth="1"/>
    <col min="10" max="10" width="11.5546875" bestFit="1" customWidth="1"/>
    <col min="12" max="12" width="11.44140625" customWidth="1"/>
    <col min="13" max="13" width="12.33203125" bestFit="1" customWidth="1"/>
  </cols>
  <sheetData>
    <row r="1" spans="1:17" x14ac:dyDescent="0.3">
      <c r="A1" s="15" t="s">
        <v>0</v>
      </c>
    </row>
    <row r="3" spans="1:17" ht="16.2" thickBot="1" x14ac:dyDescent="0.35">
      <c r="A3" s="1" t="s">
        <v>1</v>
      </c>
      <c r="B3" s="1" t="s">
        <v>2</v>
      </c>
      <c r="C3" s="23" t="s">
        <v>3</v>
      </c>
      <c r="D3" s="24"/>
      <c r="E3" s="24"/>
      <c r="G3" s="22" t="s">
        <v>4</v>
      </c>
      <c r="I3" s="21" t="s">
        <v>5</v>
      </c>
      <c r="K3" s="29" t="s">
        <v>6</v>
      </c>
      <c r="L3" s="21" t="s">
        <v>7</v>
      </c>
    </row>
    <row r="4" spans="1:17" ht="15.6" x14ac:dyDescent="0.3">
      <c r="A4" s="2">
        <v>1</v>
      </c>
      <c r="B4" s="3">
        <v>0.11</v>
      </c>
      <c r="C4" s="4">
        <v>0.08</v>
      </c>
      <c r="D4" s="5">
        <v>-0.03</v>
      </c>
      <c r="E4" s="5">
        <v>0.02</v>
      </c>
      <c r="G4" s="20">
        <v>1</v>
      </c>
      <c r="H4" s="36">
        <f t="array" ref="H4:J6">MINVERSE(C4:E6)</f>
        <v>22.727272727272727</v>
      </c>
      <c r="I4" s="36">
        <v>18.18181818181818</v>
      </c>
      <c r="J4" s="36">
        <v>-13.636363636363635</v>
      </c>
      <c r="K4" s="25">
        <f>SUM(H4:J4)</f>
        <v>27.272727272727273</v>
      </c>
      <c r="L4" s="26">
        <f t="array" ref="L4:L6">MMULT(H4:J6,B4:B6)</f>
        <v>3.545454545454545</v>
      </c>
      <c r="M4" s="20" t="s">
        <v>10</v>
      </c>
      <c r="N4">
        <f>SUM(K4:K6)</f>
        <v>172.72727272727275</v>
      </c>
      <c r="O4" s="20" t="s">
        <v>11</v>
      </c>
      <c r="P4">
        <f>N4/$N$7</f>
        <v>5.0131926121372059</v>
      </c>
    </row>
    <row r="5" spans="1:17" ht="15.6" x14ac:dyDescent="0.3">
      <c r="A5" s="2">
        <v>2</v>
      </c>
      <c r="B5" s="6">
        <v>0.08</v>
      </c>
      <c r="C5" s="7">
        <v>-0.03</v>
      </c>
      <c r="D5" s="8">
        <v>0.03</v>
      </c>
      <c r="E5" s="9">
        <v>-0.01</v>
      </c>
      <c r="G5" s="20">
        <v>1</v>
      </c>
      <c r="H5" s="36">
        <v>18.18181818181818</v>
      </c>
      <c r="I5" s="36">
        <v>54.545454545454547</v>
      </c>
      <c r="J5" s="36">
        <v>9.0909090909090935</v>
      </c>
      <c r="K5" s="25">
        <f t="shared" ref="K5:K6" si="0">SUM(H5:J5)</f>
        <v>81.818181818181813</v>
      </c>
      <c r="L5" s="26">
        <v>6.6363636363636367</v>
      </c>
      <c r="M5" s="20" t="s">
        <v>12</v>
      </c>
      <c r="N5">
        <f>SUM(L4:L6)</f>
        <v>11.454545454545455</v>
      </c>
      <c r="O5" s="27" t="s">
        <v>13</v>
      </c>
      <c r="P5">
        <f t="shared" ref="P5:P6" si="1">N5/$N$7</f>
        <v>0.33245382585751998</v>
      </c>
    </row>
    <row r="6" spans="1:17" ht="16.2" thickBot="1" x14ac:dyDescent="0.35">
      <c r="A6" s="10">
        <v>3</v>
      </c>
      <c r="B6" s="11">
        <v>0.03</v>
      </c>
      <c r="C6" s="12">
        <v>0.02</v>
      </c>
      <c r="D6" s="13">
        <v>-0.01</v>
      </c>
      <c r="E6" s="14">
        <v>0.02</v>
      </c>
      <c r="G6" s="20">
        <v>1</v>
      </c>
      <c r="H6" s="36">
        <v>-13.636363636363635</v>
      </c>
      <c r="I6" s="36">
        <v>9.0909090909090935</v>
      </c>
      <c r="J6" s="36">
        <v>68.181818181818187</v>
      </c>
      <c r="K6" s="25">
        <f t="shared" si="0"/>
        <v>63.636363636363647</v>
      </c>
      <c r="L6" s="26">
        <v>1.2727272727272732</v>
      </c>
      <c r="M6" s="18" t="s">
        <v>14</v>
      </c>
      <c r="N6">
        <f t="array" ref="N6">MMULT(TRANSPOSE(B4:B6),L4:L6)</f>
        <v>0.95909090909090911</v>
      </c>
      <c r="O6" s="20" t="s">
        <v>15</v>
      </c>
      <c r="P6">
        <f t="shared" si="1"/>
        <v>2.7836411609498693E-2</v>
      </c>
    </row>
    <row r="7" spans="1:17" x14ac:dyDescent="0.3">
      <c r="M7" s="28" t="s">
        <v>16</v>
      </c>
      <c r="N7">
        <f>N6*N4-N5^2</f>
        <v>34.454545454545439</v>
      </c>
    </row>
    <row r="9" spans="1:17" x14ac:dyDescent="0.3">
      <c r="B9" s="19" t="s">
        <v>44</v>
      </c>
    </row>
    <row r="10" spans="1:17" x14ac:dyDescent="0.3">
      <c r="A10" s="15" t="s">
        <v>22</v>
      </c>
      <c r="B10" s="32">
        <v>0</v>
      </c>
      <c r="C10" s="32">
        <v>1</v>
      </c>
      <c r="D10" s="32">
        <v>0.05</v>
      </c>
      <c r="E10" s="43">
        <f>E18</f>
        <v>6.6315789473684203E-2</v>
      </c>
      <c r="F10" s="44">
        <f>F18</f>
        <v>8.3730158730158738E-2</v>
      </c>
      <c r="G10" s="32">
        <v>0.1</v>
      </c>
      <c r="H10" s="32">
        <v>0.12</v>
      </c>
    </row>
    <row r="11" spans="1:17" x14ac:dyDescent="0.3">
      <c r="A11" s="15" t="s">
        <v>8</v>
      </c>
      <c r="B11" s="31">
        <f>($N$4*B10-$N$5)/$N$7</f>
        <v>-0.33245382585751998</v>
      </c>
      <c r="C11" s="31">
        <f>($N$4*C10-$N$5)/$N$7</f>
        <v>4.6807387862796856</v>
      </c>
      <c r="D11" s="31">
        <f>($N$4*D10-$N$5)/$N$7</f>
        <v>-8.1794195250659618E-2</v>
      </c>
      <c r="E11" s="31">
        <f>($N$4*E10-$N$5)/$N$7</f>
        <v>0</v>
      </c>
      <c r="F11" s="31">
        <f>($N$4*F10-$N$5)/$N$7</f>
        <v>8.7301587301587394E-2</v>
      </c>
      <c r="G11" s="31">
        <f>($N$4*G10-$N$5)/$N$7</f>
        <v>0.16886543535620072</v>
      </c>
      <c r="H11" s="31">
        <f>($N$4*H10-$N$5)/$N$7</f>
        <v>0.26912928759894478</v>
      </c>
      <c r="J11" s="19" t="s">
        <v>49</v>
      </c>
      <c r="M11" s="19" t="s">
        <v>50</v>
      </c>
    </row>
    <row r="12" spans="1:17" x14ac:dyDescent="0.3">
      <c r="A12" s="15" t="s">
        <v>9</v>
      </c>
      <c r="B12" s="31">
        <f>(-$N$5*B10+$N$6)/$N$7</f>
        <v>2.7836411609498693E-2</v>
      </c>
      <c r="C12" s="31">
        <f>(-$N$5*C10+$N$6)/$N$7</f>
        <v>-0.30461741424802125</v>
      </c>
      <c r="D12" s="31">
        <f>(-$N$5*D10+$N$6)/$N$7</f>
        <v>1.1213720316622697E-2</v>
      </c>
      <c r="E12" s="31">
        <f>(-$N$5*E10+$N$6)/$N$7</f>
        <v>5.7894736842105301E-3</v>
      </c>
      <c r="F12" s="31">
        <f>(-$N$5*F10+$N$6)/$N$7</f>
        <v>-3.2222831849278965E-18</v>
      </c>
      <c r="G12" s="31">
        <f>(-$N$5*G10+$N$6)/$N$7</f>
        <v>-5.4089709762533012E-3</v>
      </c>
      <c r="H12" s="31">
        <f>(-$N$5*H10+$N$6)/$N$7</f>
        <v>-1.2058047493403699E-2</v>
      </c>
      <c r="J12" s="21" t="s">
        <v>26</v>
      </c>
    </row>
    <row r="13" spans="1:17" ht="15" thickBot="1" x14ac:dyDescent="0.35">
      <c r="A13" s="15"/>
      <c r="B13" s="32" t="s">
        <v>24</v>
      </c>
      <c r="C13" s="32" t="s">
        <v>25</v>
      </c>
      <c r="D13" s="32" t="s">
        <v>30</v>
      </c>
      <c r="E13" s="38" t="s">
        <v>26</v>
      </c>
      <c r="F13" s="32" t="s">
        <v>27</v>
      </c>
      <c r="G13" s="39" t="s">
        <v>28</v>
      </c>
      <c r="H13" s="32" t="s">
        <v>29</v>
      </c>
      <c r="J13" s="32" t="s">
        <v>46</v>
      </c>
      <c r="K13" s="32" t="s">
        <v>47</v>
      </c>
      <c r="L13" s="32" t="s">
        <v>48</v>
      </c>
      <c r="M13" s="32" t="s">
        <v>53</v>
      </c>
      <c r="N13" s="32" t="s">
        <v>51</v>
      </c>
      <c r="O13" s="32" t="s">
        <v>52</v>
      </c>
    </row>
    <row r="14" spans="1:17" x14ac:dyDescent="0.3">
      <c r="A14" s="15" t="s">
        <v>17</v>
      </c>
      <c r="B14" s="31">
        <f t="array" ref="B14:B16">B11*$L$4:$L$6+B12*$K$4:$K$6</f>
        <v>-0.41952506596306083</v>
      </c>
      <c r="C14" s="31">
        <f t="array" ref="C14:C16">C11*$L$4:$L$6+C12*$K$4:$K$6</f>
        <v>8.2875989445910303</v>
      </c>
      <c r="D14" s="31">
        <f t="array" ref="D14:D16">D11*$L$4:$L$6+D12*$K$4:$K$6</f>
        <v>1.5831134564644023E-2</v>
      </c>
      <c r="E14" s="30">
        <f>K4/$N$4</f>
        <v>0.15789473684210525</v>
      </c>
      <c r="F14">
        <f>L4/$N$5</f>
        <v>0.30952380952380948</v>
      </c>
      <c r="G14" s="31">
        <f t="array" ref="G14:G16">G11*$L$4:$L$6+G12*$K$4:$K$6</f>
        <v>0.45118733509234882</v>
      </c>
      <c r="H14" s="31">
        <f t="array" ref="H14:H16">H11*$L$4:$L$6+H12*$K$4:$K$6</f>
        <v>0.62532981530343057</v>
      </c>
      <c r="J14" s="40">
        <f t="array" ref="J14:J16">MMULT($C$4:$E$6,E14:E16)</f>
        <v>5.7894736842105301E-3</v>
      </c>
      <c r="K14" s="30">
        <f>J14/$J$17</f>
        <v>7.6088591025268257E-2</v>
      </c>
      <c r="L14" s="30">
        <f>K14/$J$17</f>
        <v>1.0000000000000004</v>
      </c>
      <c r="M14" s="40">
        <f>$E14*J14</f>
        <v>9.1412742382271524E-4</v>
      </c>
      <c r="N14" s="40">
        <f t="shared" ref="N14:O16" si="2">$E14*K14</f>
        <v>1.2013988056621303E-2</v>
      </c>
      <c r="O14" s="40">
        <f t="shared" si="2"/>
        <v>0.15789473684210534</v>
      </c>
    </row>
    <row r="15" spans="1:17" x14ac:dyDescent="0.3">
      <c r="A15" s="15" t="s">
        <v>18</v>
      </c>
      <c r="B15" s="31">
        <v>7.1240105540896881E-2</v>
      </c>
      <c r="C15" s="31">
        <v>6.1398416886543608</v>
      </c>
      <c r="D15" s="31">
        <v>0.37467018469657043</v>
      </c>
      <c r="E15" s="30">
        <f t="shared" ref="E15:E16" si="3">K5/$N$4</f>
        <v>0.47368421052631571</v>
      </c>
      <c r="F15">
        <f>L5/$N$5</f>
        <v>0.57936507936507942</v>
      </c>
      <c r="G15" s="31">
        <v>0.67810026385224398</v>
      </c>
      <c r="H15" s="31">
        <v>0.79947229551451293</v>
      </c>
      <c r="J15" s="41">
        <v>5.7894736842105231E-3</v>
      </c>
      <c r="K15" s="30">
        <f t="shared" ref="K15:L16" si="4">J15/$J$17</f>
        <v>7.6088591025268174E-2</v>
      </c>
      <c r="L15" s="30">
        <f t="shared" si="4"/>
        <v>0.99999999999999944</v>
      </c>
      <c r="M15" s="41">
        <f t="shared" ref="M15:M16" si="5">$E15*J15</f>
        <v>2.742382271468142E-3</v>
      </c>
      <c r="N15" s="41">
        <f t="shared" si="2"/>
        <v>3.6041964169863869E-2</v>
      </c>
      <c r="O15" s="41">
        <f t="shared" si="2"/>
        <v>0.47368421052631543</v>
      </c>
    </row>
    <row r="16" spans="1:17" ht="15" thickBot="1" x14ac:dyDescent="0.35">
      <c r="A16" s="15" t="s">
        <v>19</v>
      </c>
      <c r="B16" s="31">
        <v>1.3482849604221643</v>
      </c>
      <c r="C16" s="31">
        <v>-13.427440633245391</v>
      </c>
      <c r="D16" s="31">
        <v>0.60949868073878677</v>
      </c>
      <c r="E16" s="30">
        <f t="shared" si="3"/>
        <v>0.36842105263157898</v>
      </c>
      <c r="F16">
        <f>L6/$N$5</f>
        <v>0.11111111111111115</v>
      </c>
      <c r="G16" s="31">
        <v>-0.12928759894459099</v>
      </c>
      <c r="H16" s="31">
        <v>-0.42480211081794206</v>
      </c>
      <c r="J16" s="42">
        <v>5.7894736842105275E-3</v>
      </c>
      <c r="K16" s="30">
        <f t="shared" si="4"/>
        <v>7.6088591025268229E-2</v>
      </c>
      <c r="L16" s="30">
        <f t="shared" si="4"/>
        <v>1.0000000000000002</v>
      </c>
      <c r="M16" s="42">
        <f t="shared" si="5"/>
        <v>2.1329639889196682E-3</v>
      </c>
      <c r="N16" s="42">
        <f t="shared" si="2"/>
        <v>2.8032638798783035E-2</v>
      </c>
      <c r="O16" s="42">
        <f t="shared" si="2"/>
        <v>0.36842105263157904</v>
      </c>
      <c r="Q16" s="16"/>
    </row>
    <row r="17" spans="1:15" x14ac:dyDescent="0.3">
      <c r="A17" s="15"/>
      <c r="B17" s="15">
        <f>SUM(B14:B16)</f>
        <v>1.0000000000000004</v>
      </c>
      <c r="C17" s="15">
        <f>SUM(C14:C16)</f>
        <v>1</v>
      </c>
      <c r="D17" s="15">
        <f>SUM(D14:D16)</f>
        <v>1.0000000000000013</v>
      </c>
      <c r="E17" s="15">
        <f>SUM(E14:E16)</f>
        <v>1</v>
      </c>
      <c r="F17" s="15">
        <f>SUM(F14:F16)</f>
        <v>1</v>
      </c>
      <c r="G17" s="15">
        <f>SUM(G14:G16)</f>
        <v>1.0000000000000018</v>
      </c>
      <c r="H17" s="15">
        <f>SUM(H14:H16)</f>
        <v>1.0000000000000013</v>
      </c>
      <c r="J17" s="35">
        <f t="array" ref="J17">SQRT(MMULT(TRANSPOSE(E14:E16),J14:J16))</f>
        <v>7.6088591025268215E-2</v>
      </c>
      <c r="M17" s="35">
        <f>SQRT(SUM(M14:M16))</f>
        <v>7.6088591025268215E-2</v>
      </c>
      <c r="N17" s="35">
        <f>SUM(N14:N16)</f>
        <v>7.6088591025268201E-2</v>
      </c>
      <c r="O17" s="30">
        <f>SUM(O14:O16)</f>
        <v>0.99999999999999978</v>
      </c>
    </row>
    <row r="18" spans="1:15" x14ac:dyDescent="0.3">
      <c r="A18" s="15" t="s">
        <v>22</v>
      </c>
      <c r="B18" s="31">
        <f t="array" ref="B18">MMULT(TRANSPOSE(B14:B16),$B$4:$B$6)</f>
        <v>-1.3877787807814457E-17</v>
      </c>
      <c r="C18" s="31">
        <f t="array" ref="C18">MMULT(TRANSPOSE(C14:C16),$B$4:$B$6)</f>
        <v>1.0000000000000004</v>
      </c>
      <c r="D18" s="31">
        <f t="array" ref="D18">MMULT(TRANSPOSE(D14:D16),$B$4:$B$6)</f>
        <v>5.0000000000000086E-2</v>
      </c>
      <c r="E18" s="30">
        <f t="array" ref="E18">MMULT(TRANSPOSE(E14:E16),$B$4:$B$6)</f>
        <v>6.6315789473684203E-2</v>
      </c>
      <c r="F18" s="31">
        <f t="array" ref="F18">MMULT(TRANSPOSE(F14:F16),$B$4:$B$6)</f>
        <v>8.3730158730158738E-2</v>
      </c>
      <c r="G18" s="31">
        <f t="array" ref="G18">MMULT(TRANSPOSE(G14:G16),$B$4:$B$6)</f>
        <v>0.10000000000000016</v>
      </c>
      <c r="H18" s="31">
        <f t="array" ref="H18">MMULT(TRANSPOSE(H14:H16),$B$4:$B$6)</f>
        <v>0.12000000000000013</v>
      </c>
      <c r="J18" s="31"/>
    </row>
    <row r="19" spans="1:15" x14ac:dyDescent="0.3">
      <c r="A19" s="15" t="s">
        <v>23</v>
      </c>
      <c r="B19" s="31">
        <f>B11*B18+B12</f>
        <v>2.7836411609498696E-2</v>
      </c>
      <c r="C19" s="31">
        <f>C11*C18+C12</f>
        <v>4.3761213720316663</v>
      </c>
      <c r="D19" s="31">
        <f>D11*D18+D12</f>
        <v>7.1240105540897091E-3</v>
      </c>
      <c r="E19" s="35">
        <f>E11*E18+E12</f>
        <v>5.7894736842105301E-3</v>
      </c>
      <c r="F19" s="31">
        <f>F11*F18+F12</f>
        <v>7.3097757621567198E-3</v>
      </c>
      <c r="G19" s="30">
        <f>G11*G18+G12</f>
        <v>1.1477572559366796E-2</v>
      </c>
      <c r="H19" s="31">
        <f>H11*H18+H12</f>
        <v>2.023746701846971E-2</v>
      </c>
    </row>
    <row r="20" spans="1:15" x14ac:dyDescent="0.3">
      <c r="A20" s="15" t="s">
        <v>21</v>
      </c>
      <c r="B20" s="31">
        <f>SQRT(B19)</f>
        <v>0.16684247543565967</v>
      </c>
      <c r="C20" s="31">
        <f>SQRT(C19)</f>
        <v>2.0919181083473766</v>
      </c>
      <c r="D20" s="31">
        <f>SQRT(D19)</f>
        <v>8.4403853905433188E-2</v>
      </c>
      <c r="E20" s="35">
        <f>SQRT(E19)</f>
        <v>7.6088591025268243E-2</v>
      </c>
      <c r="F20" s="31">
        <f>SQRT(F19)</f>
        <v>8.5497226634299192E-2</v>
      </c>
      <c r="G20" s="30">
        <f>SQRT(G19)</f>
        <v>0.10713343343404427</v>
      </c>
      <c r="H20" s="31">
        <f>SQRT(H19)</f>
        <v>0.14225845148345215</v>
      </c>
    </row>
    <row r="21" spans="1:15" x14ac:dyDescent="0.3">
      <c r="D21" s="37" t="s">
        <v>32</v>
      </c>
      <c r="E21" s="37"/>
      <c r="F21" s="37" t="s">
        <v>31</v>
      </c>
      <c r="G21" s="37" t="s">
        <v>31</v>
      </c>
      <c r="H21" s="37" t="s">
        <v>31</v>
      </c>
    </row>
    <row r="22" spans="1:15" x14ac:dyDescent="0.3">
      <c r="B22" s="19" t="s">
        <v>45</v>
      </c>
      <c r="F22" s="32" t="s">
        <v>33</v>
      </c>
      <c r="G22" s="32" t="s">
        <v>34</v>
      </c>
      <c r="H22" s="32" t="s">
        <v>35</v>
      </c>
    </row>
    <row r="23" spans="1:15" x14ac:dyDescent="0.3">
      <c r="B23" s="17"/>
      <c r="C23" s="17"/>
      <c r="F23" s="33">
        <f>-F12/F11</f>
        <v>3.6909789209174048E-17</v>
      </c>
      <c r="G23" s="33">
        <f t="shared" ref="G23:H23" si="6">-G12/G11</f>
        <v>3.2031249999999983E-2</v>
      </c>
      <c r="H23" s="33">
        <f t="shared" si="6"/>
        <v>4.480392156862744E-2</v>
      </c>
      <c r="J23" s="15"/>
      <c r="L23" s="15"/>
    </row>
    <row r="24" spans="1:15" x14ac:dyDescent="0.3">
      <c r="B24" s="17"/>
      <c r="C24" s="17"/>
      <c r="E24" s="15" t="s">
        <v>8</v>
      </c>
      <c r="F24" s="31">
        <f>($N$4*F23-$N$5)/$N$7</f>
        <v>-0.33245382585751976</v>
      </c>
      <c r="G24" s="31">
        <f t="shared" ref="G24:H24" si="7">($N$4*G23-$N$5)/$N$7</f>
        <v>-0.17187500000000017</v>
      </c>
      <c r="H24" s="31">
        <f t="shared" si="7"/>
        <v>-0.10784313725490204</v>
      </c>
      <c r="J24" s="15"/>
      <c r="L24" s="15"/>
    </row>
    <row r="25" spans="1:15" x14ac:dyDescent="0.3">
      <c r="B25" s="17"/>
      <c r="C25" s="17"/>
      <c r="E25" s="15" t="s">
        <v>9</v>
      </c>
      <c r="F25" s="31">
        <f>(-$N$5*F23+$N$6)/$N$7</f>
        <v>2.7836411609498679E-2</v>
      </c>
      <c r="G25" s="31">
        <f t="shared" ref="G25:H25" si="8">(-$N$5*G23+$N$6)/$N$7</f>
        <v>1.7187500000000015E-2</v>
      </c>
      <c r="H25" s="31">
        <f t="shared" si="8"/>
        <v>1.2941176470588246E-2</v>
      </c>
      <c r="J25" s="15"/>
      <c r="L25" s="15"/>
    </row>
    <row r="26" spans="1:15" x14ac:dyDescent="0.3">
      <c r="B26" s="17"/>
      <c r="C26" s="17"/>
      <c r="E26" s="15"/>
      <c r="F26" s="32" t="s">
        <v>36</v>
      </c>
      <c r="G26" s="32" t="s">
        <v>37</v>
      </c>
      <c r="H26" s="32" t="s">
        <v>38</v>
      </c>
      <c r="J26" s="15"/>
      <c r="L26" s="15"/>
    </row>
    <row r="27" spans="1:15" x14ac:dyDescent="0.3">
      <c r="B27" s="17"/>
      <c r="C27" s="17"/>
      <c r="E27" s="15" t="s">
        <v>17</v>
      </c>
      <c r="F27" s="31">
        <f t="array" ref="F27:F29">F24*$L$4:$L$6+F25*$K$4:$K$6</f>
        <v>-0.4195250659630605</v>
      </c>
      <c r="G27" s="31">
        <f t="array" ref="G27:G29">G24*$L$4:$L$6+G25*$K$4:$K$6</f>
        <v>-0.14062500000000011</v>
      </c>
      <c r="H27" s="31">
        <f t="array" ref="H27:H29">H24*$L$4:$L$6+H25*$K$4:$K$6</f>
        <v>-2.9411764705882248E-2</v>
      </c>
      <c r="J27" s="15"/>
      <c r="L27" s="15"/>
    </row>
    <row r="28" spans="1:15" x14ac:dyDescent="0.3">
      <c r="B28" s="17"/>
      <c r="C28" s="17"/>
      <c r="E28" s="15" t="s">
        <v>18</v>
      </c>
      <c r="F28" s="31">
        <v>7.1240105540896881E-2</v>
      </c>
      <c r="G28" s="31">
        <v>0.265625</v>
      </c>
      <c r="H28" s="31">
        <v>0.34313725490196112</v>
      </c>
      <c r="J28" s="15"/>
      <c r="L28" s="15"/>
    </row>
    <row r="29" spans="1:15" x14ac:dyDescent="0.3">
      <c r="B29" s="17"/>
      <c r="C29" s="17"/>
      <c r="E29" s="15" t="s">
        <v>19</v>
      </c>
      <c r="F29" s="31">
        <v>1.3482849604221636</v>
      </c>
      <c r="G29" s="31">
        <v>0.87500000000000089</v>
      </c>
      <c r="H29" s="31">
        <v>0.68627450980392224</v>
      </c>
      <c r="J29" s="15"/>
      <c r="L29" s="15"/>
    </row>
    <row r="30" spans="1:15" x14ac:dyDescent="0.3">
      <c r="B30" s="17"/>
      <c r="C30" s="17"/>
      <c r="E30" s="15"/>
      <c r="F30" s="33">
        <f>SUM(F27:F29)</f>
        <v>1</v>
      </c>
      <c r="G30" s="33">
        <f t="shared" ref="G30:H30" si="9">SUM(G27:G29)</f>
        <v>1.0000000000000009</v>
      </c>
      <c r="H30" s="33">
        <f t="shared" si="9"/>
        <v>1.0000000000000011</v>
      </c>
      <c r="J30" s="15"/>
      <c r="L30" s="15"/>
    </row>
    <row r="31" spans="1:15" x14ac:dyDescent="0.3">
      <c r="B31" s="17"/>
      <c r="C31" s="17"/>
      <c r="E31" s="15" t="s">
        <v>39</v>
      </c>
      <c r="F31" s="31">
        <f t="array" ref="F31">MMULT(TRANSPOSE(F27:F29),$B$4:$B$6)</f>
        <v>6.9388939039072284E-18</v>
      </c>
      <c r="G31" s="31">
        <f t="array" ref="G31">MMULT(TRANSPOSE(G27:G29),$B$4:$B$6)</f>
        <v>3.2031250000000018E-2</v>
      </c>
      <c r="H31" s="31">
        <f t="array" ref="H31">MMULT(TRANSPOSE(H27:H29),$B$4:$B$6)</f>
        <v>4.480392156862751E-2</v>
      </c>
      <c r="J31" s="15"/>
      <c r="L31" s="15"/>
    </row>
    <row r="32" spans="1:15" x14ac:dyDescent="0.3">
      <c r="B32" s="17"/>
      <c r="C32" s="17"/>
      <c r="E32" s="15" t="s">
        <v>40</v>
      </c>
      <c r="F32" s="31">
        <f>F24*F31+F25</f>
        <v>2.7836411609498676E-2</v>
      </c>
      <c r="G32" s="31">
        <f t="shared" ref="G32:H32" si="10">G24*G31+G25</f>
        <v>1.1682128906250006E-2</v>
      </c>
      <c r="H32" s="31">
        <f t="shared" si="10"/>
        <v>8.1093810073048847E-3</v>
      </c>
      <c r="J32" s="15"/>
      <c r="L32" s="15"/>
    </row>
    <row r="33" spans="1:12" x14ac:dyDescent="0.3">
      <c r="B33" s="17"/>
      <c r="C33" s="17"/>
      <c r="E33" s="15" t="s">
        <v>41</v>
      </c>
      <c r="F33" s="31">
        <f>SQRT(F32)</f>
        <v>0.16684247543565961</v>
      </c>
      <c r="G33" s="31">
        <f t="shared" ref="G33:H33" si="11">SQRT(G32)</f>
        <v>0.10808389753450791</v>
      </c>
      <c r="H33" s="31">
        <f t="shared" si="11"/>
        <v>9.0052101626252365E-2</v>
      </c>
      <c r="J33" s="15"/>
      <c r="L33" s="15"/>
    </row>
    <row r="34" spans="1:12" x14ac:dyDescent="0.3">
      <c r="B34" s="17"/>
    </row>
    <row r="35" spans="1:12" x14ac:dyDescent="0.3">
      <c r="A35" s="19" t="s">
        <v>43</v>
      </c>
    </row>
    <row r="36" spans="1:12" x14ac:dyDescent="0.3">
      <c r="A36" s="15" t="s">
        <v>17</v>
      </c>
      <c r="B36" s="15" t="s">
        <v>18</v>
      </c>
      <c r="C36" s="15" t="s">
        <v>19</v>
      </c>
      <c r="D36" s="15" t="s">
        <v>20</v>
      </c>
      <c r="E36" s="32" t="s">
        <v>21</v>
      </c>
      <c r="F36" s="32" t="s">
        <v>22</v>
      </c>
      <c r="G36" s="32" t="s">
        <v>42</v>
      </c>
    </row>
    <row r="37" spans="1:12" x14ac:dyDescent="0.3">
      <c r="A37" s="17">
        <v>8.2481453019995321E-2</v>
      </c>
      <c r="B37" s="17">
        <v>1.0290910910752959E-3</v>
      </c>
      <c r="C37" s="17">
        <v>0.91648945588892938</v>
      </c>
      <c r="D37" s="20">
        <f>SUM(A37:C37)</f>
        <v>1</v>
      </c>
      <c r="E37" s="17">
        <f t="array" ref="E37">SQRT(MMULT(A37:C37,MMULT($C$4:$E$6,TRANSPOSE(A37:C37))))</f>
        <v>0.14262932670011014</v>
      </c>
      <c r="F37" s="17">
        <f t="array" ref="F37">MMULT(A37:C37,$B$4:$B$6)</f>
        <v>3.664997079615339E-2</v>
      </c>
      <c r="G37" s="30">
        <f>SQRT($P$4*F37^2-2*$P$5*F37+$P$6)</f>
        <v>0.10100192064517313</v>
      </c>
    </row>
    <row r="38" spans="1:12" x14ac:dyDescent="0.3">
      <c r="A38" s="17">
        <v>2.2944995757462228E-2</v>
      </c>
      <c r="B38" s="17">
        <v>0.11456969258330985</v>
      </c>
      <c r="C38" s="17">
        <v>0.86248531165922793</v>
      </c>
      <c r="D38" s="20">
        <f>SUM(A38:C38)</f>
        <v>1</v>
      </c>
      <c r="E38" s="17">
        <f t="array" ref="E38">SQRT(MMULT(A38:C38,MMULT($C$4:$E$6,TRANSPOSE(A38:C38))))</f>
        <v>0.11819936456053427</v>
      </c>
      <c r="F38" s="17">
        <f t="array" ref="F38">MMULT(A38:C38,$B$4:$B$6)</f>
        <v>3.7564084289762469E-2</v>
      </c>
      <c r="G38" s="30">
        <f>SQRT($P$4*F38^2-2*$P$5*F38+$P$6)</f>
        <v>9.9667859669727701E-2</v>
      </c>
    </row>
    <row r="39" spans="1:12" x14ac:dyDescent="0.3">
      <c r="A39" s="17">
        <v>6.7272135440142988E-2</v>
      </c>
      <c r="B39" s="17">
        <v>0.11360031477989729</v>
      </c>
      <c r="C39" s="17">
        <v>0.81912754977995972</v>
      </c>
      <c r="D39" s="20">
        <f>SUM(A39:C39)</f>
        <v>1</v>
      </c>
      <c r="E39" s="17">
        <f t="array" ref="E39">SQRT(MMULT(A39:C39,MMULT($C$4:$E$6,TRANSPOSE(A39:C39))))</f>
        <v>0.11854611044398107</v>
      </c>
      <c r="F39" s="17">
        <f t="array" ref="F39">MMULT(A39:C39,$B$4:$B$6)</f>
        <v>4.1061786574206303E-2</v>
      </c>
      <c r="G39" s="30">
        <f>SQRT($P$4*F39^2-2*$P$5*F39+$P$6)</f>
        <v>9.4798263582574108E-2</v>
      </c>
    </row>
    <row r="40" spans="1:12" x14ac:dyDescent="0.3">
      <c r="A40" s="17">
        <v>0.10746631303470167</v>
      </c>
      <c r="B40" s="17">
        <v>0.14234610086254817</v>
      </c>
      <c r="C40" s="17">
        <v>0.75018758610275016</v>
      </c>
      <c r="D40" s="20">
        <f>SUM(A40:C40)</f>
        <v>1</v>
      </c>
      <c r="E40" s="17">
        <f t="array" ref="E40">SQRT(MMULT(A40:C40,MMULT($C$4:$E$6,TRANSPOSE(A40:C40))))</f>
        <v>0.11383605272168769</v>
      </c>
      <c r="F40" s="17">
        <f t="array" ref="F40">MMULT(A40:C40,$B$4:$B$6)</f>
        <v>4.5714610085903537E-2</v>
      </c>
      <c r="G40" s="30">
        <f>SQRT($P$4*F40^2-2*$P$5*F40+$P$6)</f>
        <v>8.8978175430789119E-2</v>
      </c>
    </row>
    <row r="41" spans="1:12" x14ac:dyDescent="0.3">
      <c r="A41" s="17">
        <v>0.11816428645995569</v>
      </c>
      <c r="B41" s="17">
        <v>0.19379462605452502</v>
      </c>
      <c r="C41" s="17">
        <v>0.68804108748551929</v>
      </c>
      <c r="D41" s="20">
        <f>SUM(A41:C41)</f>
        <v>1</v>
      </c>
      <c r="E41" s="17">
        <f t="array" ref="E41">SQRT(MMULT(A41:C41,MMULT($C$4:$E$6,TRANSPOSE(A41:C41))))</f>
        <v>0.10451340201254848</v>
      </c>
      <c r="F41" s="17">
        <f t="array" ref="F41">MMULT(A41:C41,$B$4:$B$6)</f>
        <v>4.9142874219522709E-2</v>
      </c>
      <c r="G41" s="30">
        <f>SQRT($P$4*F41^2-2*$P$5*F41+$P$6)</f>
        <v>8.5252034557177184E-2</v>
      </c>
    </row>
    <row r="42" spans="1:12" x14ac:dyDescent="0.3">
      <c r="A42" s="17">
        <v>2.0475905220739166E-2</v>
      </c>
      <c r="B42" s="17">
        <v>0.4013796389978741</v>
      </c>
      <c r="C42" s="17">
        <v>0.57814445578138673</v>
      </c>
      <c r="D42" s="20">
        <f>SUM(A42:C42)</f>
        <v>1</v>
      </c>
      <c r="E42" s="17">
        <f t="array" ref="E42">SQRT(MMULT(A42:C42,MMULT($C$4:$E$6,TRANSPOSE(A42:C42))))</f>
        <v>8.3012203838485926E-2</v>
      </c>
      <c r="F42" s="17">
        <f t="array" ref="F42">MMULT(A42:C42,$B$4:$B$6)</f>
        <v>5.1707054367552838E-2</v>
      </c>
      <c r="G42" s="30">
        <f>SQRT($P$4*F42^2-2*$P$5*F42+$P$6)</f>
        <v>8.2821282858941594E-2</v>
      </c>
    </row>
    <row r="43" spans="1:12" x14ac:dyDescent="0.3">
      <c r="A43" s="17">
        <v>5.082724079402956E-2</v>
      </c>
      <c r="B43" s="17">
        <v>0.35824249484769211</v>
      </c>
      <c r="C43" s="17">
        <v>0.59093026435827833</v>
      </c>
      <c r="D43" s="20">
        <f>SUM(A43:C43)</f>
        <v>1</v>
      </c>
      <c r="E43" s="17">
        <f t="array" ref="E43">SQRT(MMULT(A43:C43,MMULT($C$4:$E$6,TRANSPOSE(A43:C43))))</f>
        <v>8.3161010513583461E-2</v>
      </c>
      <c r="F43" s="17">
        <f t="array" ref="F43">MMULT(A43:C43,$B$4:$B$6)</f>
        <v>5.1978304005906972E-2</v>
      </c>
      <c r="G43" s="30">
        <f>SQRT($P$4*F43^2-2*$P$5*F43+$P$6)</f>
        <v>8.2583309762270962E-2</v>
      </c>
    </row>
    <row r="44" spans="1:12" x14ac:dyDescent="0.3">
      <c r="A44" s="17">
        <v>4.6792083804519047E-2</v>
      </c>
      <c r="B44" s="17">
        <v>0.36605223689435462</v>
      </c>
      <c r="C44" s="17">
        <v>0.58715567930112633</v>
      </c>
      <c r="D44" s="20">
        <f>SUM(A44:C44)</f>
        <v>1</v>
      </c>
      <c r="E44" s="17">
        <f t="array" ref="E44">SQRT(MMULT(A44:C44,MMULT($C$4:$E$6,TRANSPOSE(A44:C44))))</f>
        <v>8.2841406702182624E-2</v>
      </c>
      <c r="F44" s="17">
        <f t="array" ref="F44">MMULT(A44:C44,$B$4:$B$6)</f>
        <v>5.2045978549079254E-2</v>
      </c>
      <c r="G44" s="30">
        <f>SQRT($P$4*F44^2-2*$P$5*F44+$P$6)</f>
        <v>8.2524527154106228E-2</v>
      </c>
    </row>
    <row r="45" spans="1:12" x14ac:dyDescent="0.3">
      <c r="A45" s="17">
        <v>0.21192742792871611</v>
      </c>
      <c r="B45" s="17">
        <v>0.13843556549375646</v>
      </c>
      <c r="C45" s="17">
        <v>0.64963700657752743</v>
      </c>
      <c r="D45" s="20">
        <f>SUM(A45:C45)</f>
        <v>1</v>
      </c>
      <c r="E45" s="17">
        <f t="array" ref="E45">SQRT(MMULT(A45:C45,MMULT($C$4:$E$6,TRANSPOSE(A45:C45))))</f>
        <v>0.12065088820757121</v>
      </c>
      <c r="F45" s="17">
        <f t="array" ref="F45">MMULT(A45:C45,$B$4:$B$6)</f>
        <v>5.3875972508985112E-2</v>
      </c>
      <c r="G45" s="30">
        <f>SQRT($P$4*F45^2-2*$P$5*F45+$P$6)</f>
        <v>8.1026294861178252E-2</v>
      </c>
    </row>
    <row r="46" spans="1:12" x14ac:dyDescent="0.3">
      <c r="A46" s="17">
        <v>0.21258506034453994</v>
      </c>
      <c r="B46" s="17">
        <v>0.14362550151031928</v>
      </c>
      <c r="C46" s="17">
        <v>0.64378943814514078</v>
      </c>
      <c r="D46" s="20">
        <f>SUM(A46:C46)</f>
        <v>1</v>
      </c>
      <c r="E46" s="17">
        <f t="array" ref="E46">SQRT(MMULT(A46:C46,MMULT($C$4:$E$6,TRANSPOSE(A46:C46))))</f>
        <v>0.11965236677118114</v>
      </c>
      <c r="F46" s="17">
        <f t="array" ref="F46">MMULT(A46:C46,$B$4:$B$6)</f>
        <v>5.418807990307916E-2</v>
      </c>
      <c r="G46" s="30">
        <f>SQRT($P$4*F46^2-2*$P$5*F46+$P$6)</f>
        <v>8.0788741594475633E-2</v>
      </c>
    </row>
    <row r="47" spans="1:12" x14ac:dyDescent="0.3">
      <c r="A47" s="17">
        <v>0.19845571549408758</v>
      </c>
      <c r="B47" s="17">
        <v>0.24530960277095248</v>
      </c>
      <c r="C47" s="17">
        <v>0.55623468173495993</v>
      </c>
      <c r="D47" s="20">
        <f>SUM(A47:C47)</f>
        <v>1</v>
      </c>
      <c r="E47" s="17">
        <f t="array" ref="E47">SQRT(MMULT(A47:C47,MMULT($C$4:$E$6,TRANSPOSE(A47:C47))))</f>
        <v>9.954675519510843E-2</v>
      </c>
      <c r="F47" s="17">
        <f t="array" ref="F47">MMULT(A47:C47,$B$4:$B$6)</f>
        <v>5.8141937378074632E-2</v>
      </c>
      <c r="G47" s="30">
        <f>SQRT($P$4*F47^2-2*$P$5*F47+$P$6)</f>
        <v>7.8258637846213883E-2</v>
      </c>
    </row>
    <row r="48" spans="1:12" x14ac:dyDescent="0.3">
      <c r="A48" s="17">
        <v>8.8806584196378879E-2</v>
      </c>
      <c r="B48" s="17">
        <v>0.4851833852010381</v>
      </c>
      <c r="C48" s="17">
        <v>0.42601003060258302</v>
      </c>
      <c r="D48" s="20">
        <f>SUM(A48:C48)</f>
        <v>1</v>
      </c>
      <c r="E48" s="17">
        <f t="array" ref="E48">SQRT(MMULT(A48:C48,MMULT($C$4:$E$6,TRANSPOSE(A48:C48))))</f>
        <v>7.8210603469437229E-2</v>
      </c>
      <c r="F48" s="17">
        <f t="array" ref="F48">MMULT(A48:C48,$B$4:$B$6)</f>
        <v>6.1363695995762219E-2</v>
      </c>
      <c r="G48" s="30">
        <f>SQRT($P$4*F48^2-2*$P$5*F48+$P$6)</f>
        <v>7.6892219104017279E-2</v>
      </c>
    </row>
    <row r="49" spans="1:7" x14ac:dyDescent="0.3">
      <c r="A49" s="17">
        <v>6.8083407373326188E-2</v>
      </c>
      <c r="B49" s="17">
        <v>0.54569415505652052</v>
      </c>
      <c r="C49" s="17">
        <v>0.38622243757015329</v>
      </c>
      <c r="D49" s="20">
        <f>SUM(A49:C49)</f>
        <v>1</v>
      </c>
      <c r="E49" s="17">
        <f t="array" ref="E49">SQRT(MMULT(A49:C49,MMULT($C$4:$E$6,TRANSPOSE(A49:C49))))</f>
        <v>8.3036803769074297E-2</v>
      </c>
      <c r="F49" s="17">
        <f t="array" ref="F49">MMULT(A49:C49,$B$4:$B$6)</f>
        <v>6.2731380342692128E-2</v>
      </c>
      <c r="G49" s="30">
        <f>SQRT($P$4*F49^2-2*$P$5*F49+$P$6)</f>
        <v>7.6510673287035244E-2</v>
      </c>
    </row>
    <row r="50" spans="1:7" x14ac:dyDescent="0.3">
      <c r="A50" s="17">
        <v>0.3436471464834846</v>
      </c>
      <c r="B50" s="17">
        <v>0.1090417407108133</v>
      </c>
      <c r="C50" s="17">
        <v>0.5473111128057021</v>
      </c>
      <c r="D50" s="20">
        <f>SUM(A50:C50)</f>
        <v>1</v>
      </c>
      <c r="E50" s="17">
        <f t="array" ref="E50">SQRT(MMULT(A50:C50,MMULT($C$4:$E$6,TRANSPOSE(A50:C50))))</f>
        <v>0.14098414449156427</v>
      </c>
      <c r="F50" s="17">
        <f t="array" ref="F50">MMULT(A50:C50,$B$4:$B$6)</f>
        <v>6.2943858754219428E-2</v>
      </c>
      <c r="G50" s="30">
        <f>SQRT($P$4*F50^2-2*$P$5*F50+$P$6)</f>
        <v>7.6462234253237379E-2</v>
      </c>
    </row>
    <row r="51" spans="1:7" x14ac:dyDescent="0.3">
      <c r="A51" s="17">
        <v>0.11200206777655852</v>
      </c>
      <c r="B51" s="17">
        <v>0.50349144554767256</v>
      </c>
      <c r="C51" s="17">
        <v>0.38450648667576892</v>
      </c>
      <c r="D51" s="20">
        <f>SUM(A51:C51)</f>
        <v>1</v>
      </c>
      <c r="E51" s="17">
        <f t="array" ref="E51">SQRT(MMULT(A51:C51,MMULT($C$4:$E$6,TRANSPOSE(A51:C51))))</f>
        <v>7.7670793994429888E-2</v>
      </c>
      <c r="F51" s="34">
        <f t="array" ref="F51">MMULT(A51:C51,$B$4:$B$6)</f>
        <v>6.413473769950831E-2</v>
      </c>
      <c r="G51" s="35">
        <f>SQRT($P$4*F51^2-2*$P$5*F51+$P$6)</f>
        <v>7.6245140012338161E-2</v>
      </c>
    </row>
    <row r="52" spans="1:7" x14ac:dyDescent="0.3">
      <c r="A52" s="17">
        <v>0.16742365206858589</v>
      </c>
      <c r="B52" s="17">
        <v>0.41921555798897392</v>
      </c>
      <c r="C52" s="17">
        <v>0.41336078994244019</v>
      </c>
      <c r="D52" s="20">
        <f>SUM(A52:C52)</f>
        <v>1</v>
      </c>
      <c r="E52" s="17">
        <f t="array" ref="E52">SQRT(MMULT(A52:C52,MMULT($C$4:$E$6,TRANSPOSE(A52:C52))))</f>
        <v>7.761031614599731E-2</v>
      </c>
      <c r="F52" s="34">
        <f t="array" ref="F52">MMULT(A52:C52,$B$4:$B$6)</f>
        <v>6.4354670064935574E-2</v>
      </c>
      <c r="G52" s="35">
        <f>SQRT($P$4*F52^2-2*$P$5*F52+$P$6)</f>
        <v>7.621518463884322E-2</v>
      </c>
    </row>
    <row r="53" spans="1:7" x14ac:dyDescent="0.3">
      <c r="A53" s="17">
        <v>0.28114502825679877</v>
      </c>
      <c r="B53" s="17">
        <v>0.24367594761662026</v>
      </c>
      <c r="C53" s="17">
        <v>0.47517902412658097</v>
      </c>
      <c r="D53" s="20">
        <f>SUM(A53:C53)</f>
        <v>1</v>
      </c>
      <c r="E53" s="17">
        <f t="array" ref="E53">SQRT(MMULT(A53:C53,MMULT($C$4:$E$6,TRANSPOSE(A53:C53))))</f>
        <v>0.10741564705370782</v>
      </c>
      <c r="F53" s="34">
        <f t="array" ref="F53">MMULT(A53:C53,$B$4:$B$6)</f>
        <v>6.467539964137492E-2</v>
      </c>
      <c r="G53" s="35">
        <f>SQRT($P$4*F53^2-2*$P$5*F53+$P$6)</f>
        <v>7.6177185416242479E-2</v>
      </c>
    </row>
    <row r="54" spans="1:7" x14ac:dyDescent="0.3">
      <c r="A54" s="17">
        <v>7.8332089130609961E-2</v>
      </c>
      <c r="B54" s="17">
        <v>0.59687922431343898</v>
      </c>
      <c r="C54" s="17">
        <v>0.32478868655595106</v>
      </c>
      <c r="D54" s="20">
        <f>SUM(A54:C54)</f>
        <v>1</v>
      </c>
      <c r="E54" s="17">
        <f t="array" ref="E54">SQRT(MMULT(A54:C54,MMULT($C$4:$E$6,TRANSPOSE(A54:C54))))</f>
        <v>8.7314066665533957E-2</v>
      </c>
      <c r="F54" s="34">
        <f t="array" ref="F54">MMULT(A54:C54,$B$4:$B$6)</f>
        <v>6.6110528346120745E-2</v>
      </c>
      <c r="G54" s="35">
        <f>SQRT($P$4*F54^2-2*$P$5*F54+$P$6)</f>
        <v>7.608997897683914E-2</v>
      </c>
    </row>
    <row r="55" spans="1:7" x14ac:dyDescent="0.3">
      <c r="A55" s="17">
        <v>0.38796908423828458</v>
      </c>
      <c r="B55" s="17">
        <v>0.12571655571434526</v>
      </c>
      <c r="C55" s="17">
        <v>0.48631436004737016</v>
      </c>
      <c r="D55" s="20">
        <f>SUM(A55:C55)</f>
        <v>1</v>
      </c>
      <c r="E55" s="17">
        <f t="array" ref="E55">SQRT(MMULT(A55:C55,MMULT($C$4:$E$6,TRANSPOSE(A55:C55))))</f>
        <v>0.14367869523177371</v>
      </c>
      <c r="F55" s="34">
        <f t="array" ref="F55">MMULT(A55:C55,$B$4:$B$6)</f>
        <v>6.7323354524780027E-2</v>
      </c>
      <c r="G55" s="35">
        <f>SQRT($P$4*F55^2-2*$P$5*F55+$P$6)</f>
        <v>7.6122027126477601E-2</v>
      </c>
    </row>
    <row r="56" spans="1:7" x14ac:dyDescent="0.3">
      <c r="A56" s="17">
        <v>0.27732450281510934</v>
      </c>
      <c r="B56" s="17">
        <v>0.31581673607445993</v>
      </c>
      <c r="C56" s="17">
        <v>0.40685876111043073</v>
      </c>
      <c r="D56" s="20">
        <f>SUM(A56:C56)</f>
        <v>1</v>
      </c>
      <c r="E56" s="17">
        <f t="array" ref="E56">SQRT(MMULT(A56:C56,MMULT($C$4:$E$6,TRANSPOSE(A56:C56))))</f>
        <v>9.5624236518052311E-2</v>
      </c>
      <c r="F56" s="34">
        <f t="array" ref="F56">MMULT(A56:C56,$B$4:$B$6)</f>
        <v>6.7976797028931751E-2</v>
      </c>
      <c r="G56" s="35">
        <f>SQRT($P$4*F56^2-2*$P$5*F56+$P$6)</f>
        <v>7.6179425125221689E-2</v>
      </c>
    </row>
    <row r="57" spans="1:7" x14ac:dyDescent="0.3">
      <c r="A57" s="17">
        <v>0.41873792292045708</v>
      </c>
      <c r="B57" s="17">
        <v>9.3125357551215981E-2</v>
      </c>
      <c r="C57" s="17">
        <v>0.48813671952832693</v>
      </c>
      <c r="D57" s="20">
        <f>SUM(A57:C57)</f>
        <v>1</v>
      </c>
      <c r="E57" s="17">
        <f t="array" ref="E57">SQRT(MMULT(A57:C57,MMULT($C$4:$E$6,TRANSPOSE(A57:C57))))</f>
        <v>0.15485549372261692</v>
      </c>
      <c r="F57" s="34">
        <f t="array" ref="F57">MMULT(A57:C57,$B$4:$B$6)</f>
        <v>6.8155301711197366E-2</v>
      </c>
      <c r="G57" s="35">
        <f>SQRT($P$4*F57^2-2*$P$5*F57+$P$6)</f>
        <v>7.6199982623363013E-2</v>
      </c>
    </row>
    <row r="58" spans="1:7" x14ac:dyDescent="0.3">
      <c r="A58" s="17">
        <v>0.4532265281065806</v>
      </c>
      <c r="B58" s="17">
        <v>4.8994730536672249E-2</v>
      </c>
      <c r="C58" s="17">
        <v>0.49777874135674716</v>
      </c>
      <c r="D58" s="20">
        <f>SUM(A58:C58)</f>
        <v>1</v>
      </c>
      <c r="E58" s="17">
        <f t="array" ref="E58">SQRT(MMULT(A58:C58,MMULT($C$4:$E$6,TRANSPOSE(A58:C58))))</f>
        <v>0.16930734982076681</v>
      </c>
      <c r="F58" s="34">
        <f t="array" ref="F58">MMULT(A58:C58,$B$4:$B$6)</f>
        <v>6.8707858775360064E-2</v>
      </c>
      <c r="G58" s="35">
        <f>SQRT($P$4*F58^2-2*$P$5*F58+$P$6)</f>
        <v>7.6276858548307361E-2</v>
      </c>
    </row>
    <row r="59" spans="1:7" x14ac:dyDescent="0.3">
      <c r="A59" s="17">
        <v>0.3364307656437443</v>
      </c>
      <c r="B59" s="17">
        <v>0.24393730219300114</v>
      </c>
      <c r="C59" s="17">
        <v>0.41963193216325456</v>
      </c>
      <c r="D59" s="20">
        <f>SUM(A59:C59)</f>
        <v>1</v>
      </c>
      <c r="E59" s="17">
        <f t="array" ref="E59">SQRT(MMULT(A59:C59,MMULT($C$4:$E$6,TRANSPOSE(A59:C59))))</f>
        <v>0.11418213282719686</v>
      </c>
      <c r="F59" s="34">
        <f t="array" ref="F59">MMULT(A59:C59,$B$4:$B$6)</f>
        <v>6.9111326361149597E-2</v>
      </c>
      <c r="G59" s="35">
        <f>SQRT($P$4*F59^2-2*$P$5*F59+$P$6)</f>
        <v>7.6345608369242438E-2</v>
      </c>
    </row>
    <row r="60" spans="1:7" x14ac:dyDescent="0.3">
      <c r="A60" s="17">
        <v>0.33901730078171866</v>
      </c>
      <c r="B60" s="17">
        <v>0.24997509110021032</v>
      </c>
      <c r="C60" s="17">
        <v>0.41100760811807102</v>
      </c>
      <c r="D60" s="20">
        <f>SUM(A60:C60)</f>
        <v>1</v>
      </c>
      <c r="E60" s="17">
        <f t="array" ref="E60">SQRT(MMULT(A60:C60,MMULT($C$4:$E$6,TRANSPOSE(A60:C60))))</f>
        <v>0.11349780329939214</v>
      </c>
      <c r="F60" s="34">
        <f t="array" ref="F60">MMULT(A60:C60,$B$4:$B$6)</f>
        <v>6.9620138617548011E-2</v>
      </c>
      <c r="G60" s="35">
        <f>SQRT($P$4*F60^2-2*$P$5*F60+$P$6)</f>
        <v>7.6447441729690035E-2</v>
      </c>
    </row>
    <row r="61" spans="1:7" x14ac:dyDescent="0.3">
      <c r="A61" s="17">
        <v>0.45248964680838466</v>
      </c>
      <c r="B61" s="17">
        <v>7.0492469619886755E-2</v>
      </c>
      <c r="C61" s="17">
        <v>0.47701788357172858</v>
      </c>
      <c r="D61" s="20">
        <f>SUM(A61:C61)</f>
        <v>1</v>
      </c>
      <c r="E61" s="17">
        <f t="array" ref="E61">SQRT(MMULT(A61:C61,MMULT($C$4:$E$6,TRANSPOSE(A61:C61))))</f>
        <v>0.16470344053119537</v>
      </c>
      <c r="F61" s="34">
        <f t="array" ref="F61">MMULT(A61:C61,$B$4:$B$6)</f>
        <v>6.9723795225665117E-2</v>
      </c>
      <c r="G61" s="35">
        <f>SQRT($P$4*F61^2-2*$P$5*F61+$P$6)</f>
        <v>7.6470251901469222E-2</v>
      </c>
    </row>
    <row r="62" spans="1:7" x14ac:dyDescent="0.3">
      <c r="A62" s="17">
        <v>0.33748069478115572</v>
      </c>
      <c r="B62" s="17">
        <v>0.25676177305256309</v>
      </c>
      <c r="C62" s="17">
        <v>0.40575753216628119</v>
      </c>
      <c r="D62" s="20">
        <f>SUM(A62:C62)</f>
        <v>1</v>
      </c>
      <c r="E62" s="17">
        <f t="array" ref="E62">SQRT(MMULT(A62:C62,MMULT($C$4:$E$6,TRANSPOSE(A62:C62))))</f>
        <v>0.11214572520787587</v>
      </c>
      <c r="F62" s="34">
        <f t="array" ref="F62">MMULT(A62:C62,$B$4:$B$6)</f>
        <v>6.9836544235120618E-2</v>
      </c>
      <c r="G62" s="35">
        <f>SQRT($P$4*F62^2-2*$P$5*F62+$P$6)</f>
        <v>7.6495854701477545E-2</v>
      </c>
    </row>
    <row r="63" spans="1:7" x14ac:dyDescent="0.3">
      <c r="A63" s="17">
        <v>0.17687222220399057</v>
      </c>
      <c r="B63" s="17">
        <v>0.5155941793011628</v>
      </c>
      <c r="C63" s="17">
        <v>0.30753359849484663</v>
      </c>
      <c r="D63" s="20">
        <f>SUM(A63:C63)</f>
        <v>1</v>
      </c>
      <c r="E63" s="17">
        <f t="array" ref="E63">SQRT(MMULT(A63:C63,MMULT($C$4:$E$6,TRANSPOSE(A63:C63))))</f>
        <v>7.6825905346322457E-2</v>
      </c>
      <c r="F63" s="34">
        <f t="array" ref="F63">MMULT(A63:C63,$B$4:$B$6)</f>
        <v>6.9929486741377389E-2</v>
      </c>
      <c r="G63" s="35">
        <f>SQRT($P$4*F63^2-2*$P$5*F63+$P$6)</f>
        <v>7.6517579703695243E-2</v>
      </c>
    </row>
    <row r="64" spans="1:7" x14ac:dyDescent="0.3">
      <c r="A64" s="17">
        <v>0.12266507079805922</v>
      </c>
      <c r="B64" s="17">
        <v>0.61205663678303057</v>
      </c>
      <c r="C64" s="17">
        <v>0.26527829241891021</v>
      </c>
      <c r="D64" s="20">
        <f>SUM(A64:C64)</f>
        <v>1</v>
      </c>
      <c r="E64" s="17">
        <f t="array" ref="E64">SQRT(MMULT(A64:C64,MMULT($C$4:$E$6,TRANSPOSE(A64:C64))))</f>
        <v>8.6018713111892478E-2</v>
      </c>
      <c r="F64" s="34">
        <f t="array" ref="F64">MMULT(A64:C64,$B$4:$B$6)</f>
        <v>7.041603750299627E-2</v>
      </c>
      <c r="G64" s="35">
        <f>SQRT($P$4*F64^2-2*$P$5*F64+$P$6)</f>
        <v>7.6640430898856596E-2</v>
      </c>
    </row>
    <row r="65" spans="1:7" x14ac:dyDescent="0.3">
      <c r="A65" s="17">
        <v>0.50921578938161993</v>
      </c>
      <c r="B65" s="17">
        <v>2.3042457256342797E-2</v>
      </c>
      <c r="C65" s="17">
        <v>0.46774175336203727</v>
      </c>
      <c r="D65" s="20">
        <f>SUM(A65:C65)</f>
        <v>1</v>
      </c>
      <c r="E65" s="17">
        <f t="array" ref="E65">SQRT(MMULT(A65:C65,MMULT($C$4:$E$6,TRANSPOSE(A65:C65))))</f>
        <v>0.18369354721943204</v>
      </c>
      <c r="F65" s="34">
        <f t="array" ref="F65">MMULT(A65:C65,$B$4:$B$6)</f>
        <v>7.188938601334674E-2</v>
      </c>
      <c r="G65" s="35">
        <f>SQRT($P$4*F65^2-2*$P$5*F65+$P$6)</f>
        <v>7.7105177545714304E-2</v>
      </c>
    </row>
    <row r="66" spans="1:7" x14ac:dyDescent="0.3">
      <c r="A66" s="17">
        <v>6.8319482309211477E-3</v>
      </c>
      <c r="B66" s="17">
        <v>0.85920255676155888</v>
      </c>
      <c r="C66" s="17">
        <v>0.13396549500751997</v>
      </c>
      <c r="D66" s="20">
        <f>SUM(A66:C66)</f>
        <v>1</v>
      </c>
      <c r="E66" s="17">
        <f t="array" ref="E66">SQRT(MMULT(A66:C66,MMULT($C$4:$E$6,TRANSPOSE(A66:C66))))</f>
        <v>0.1410385705329909</v>
      </c>
      <c r="F66" s="34">
        <f t="array" ref="F66">MMULT(A66:C66,$B$4:$B$6)</f>
        <v>7.3506683696551639E-2</v>
      </c>
      <c r="G66" s="35">
        <f>SQRT($P$4*F66^2-2*$P$5*F66+$P$6)</f>
        <v>7.777339300225064E-2</v>
      </c>
    </row>
    <row r="67" spans="1:7" x14ac:dyDescent="0.3">
      <c r="A67" s="17">
        <v>0.53517715334225024</v>
      </c>
      <c r="B67" s="17">
        <v>2.9394356874156369E-2</v>
      </c>
      <c r="C67" s="17">
        <v>0.43542848978359339</v>
      </c>
      <c r="D67" s="20">
        <f>SUM(A67:C67)</f>
        <v>1</v>
      </c>
      <c r="E67" s="17">
        <f t="array" ref="E67">SQRT(MMULT(A67:C67,MMULT($C$4:$E$6,TRANSPOSE(A67:C67))))</f>
        <v>0.1866881039616482</v>
      </c>
      <c r="F67" s="34">
        <f t="array" ref="F67">MMULT(A67:C67,$B$4:$B$6)</f>
        <v>7.4283890111087839E-2</v>
      </c>
      <c r="G67" s="35">
        <f>SQRT($P$4*F67^2-2*$P$5*F67+$P$6)</f>
        <v>7.815218762309839E-2</v>
      </c>
    </row>
    <row r="68" spans="1:7" x14ac:dyDescent="0.3">
      <c r="A68" s="17">
        <v>0.3509299210120036</v>
      </c>
      <c r="B68" s="17">
        <v>0.33266738787479766</v>
      </c>
      <c r="C68" s="17">
        <v>0.31640269111319874</v>
      </c>
      <c r="D68" s="20">
        <f>SUM(A68:C68)</f>
        <v>1</v>
      </c>
      <c r="E68" s="17">
        <f t="array" ref="E68">SQRT(MMULT(A68:C68,MMULT($C$4:$E$6,TRANSPOSE(A68:C68))))</f>
        <v>0.10249916612380605</v>
      </c>
      <c r="F68" s="34">
        <f t="array" ref="F68">MMULT(A68:C68,$B$4:$B$6)</f>
        <v>7.4707763074700173E-2</v>
      </c>
      <c r="G68" s="35">
        <f>SQRT($P$4*F68^2-2*$P$5*F68+$P$6)</f>
        <v>7.8374287119153715E-2</v>
      </c>
    </row>
    <row r="69" spans="1:7" x14ac:dyDescent="0.3">
      <c r="A69" s="17">
        <v>0.25809954048894224</v>
      </c>
      <c r="B69" s="17">
        <v>0.49034235684053018</v>
      </c>
      <c r="C69" s="17">
        <v>0.25155810267052758</v>
      </c>
      <c r="D69" s="20">
        <f>SUM(A69:C69)</f>
        <v>1</v>
      </c>
      <c r="E69" s="17">
        <f t="array" ref="E69">SQRT(MMULT(A69:C69,MMULT($C$4:$E$6,TRANSPOSE(A69:C69))))</f>
        <v>7.9652930656234827E-2</v>
      </c>
      <c r="F69" s="34">
        <f t="array" ref="F69">MMULT(A69:C69,$B$4:$B$6)</f>
        <v>7.516508108114188E-2</v>
      </c>
      <c r="G69" s="35">
        <f>SQRT($P$4*F69^2-2*$P$5*F69+$P$6)</f>
        <v>7.8626055521908031E-2</v>
      </c>
    </row>
    <row r="70" spans="1:7" x14ac:dyDescent="0.3">
      <c r="A70" s="17">
        <v>0.29398411965475746</v>
      </c>
      <c r="B70" s="17">
        <v>0.45753012941339799</v>
      </c>
      <c r="C70" s="17">
        <v>0.24848575093184455</v>
      </c>
      <c r="D70" s="20">
        <f>SUM(A70:C70)</f>
        <v>1</v>
      </c>
      <c r="E70" s="17">
        <f t="array" ref="E70">SQRT(MMULT(A70:C70,MMULT($C$4:$E$6,TRANSPOSE(A70:C70))))</f>
        <v>8.3707201911035908E-2</v>
      </c>
      <c r="F70" s="34">
        <f t="array" ref="F70">MMULT(A70:C70,$B$4:$B$6)</f>
        <v>7.6395236043050499E-2</v>
      </c>
      <c r="G70" s="35">
        <f>SQRT($P$4*F70^2-2*$P$5*F70+$P$6)</f>
        <v>7.9364917983778357E-2</v>
      </c>
    </row>
    <row r="71" spans="1:7" x14ac:dyDescent="0.3">
      <c r="A71" s="17">
        <v>0.51133369063139122</v>
      </c>
      <c r="B71" s="17">
        <v>0.11277302435083303</v>
      </c>
      <c r="C71" s="17">
        <v>0.37589328501777575</v>
      </c>
      <c r="D71" s="20">
        <f>SUM(A71:C71)</f>
        <v>1</v>
      </c>
      <c r="E71" s="17">
        <f t="array" ref="E71">SQRT(MMULT(A71:C71,MMULT($C$4:$E$6,TRANSPOSE(A71:C71))))</f>
        <v>0.16584632679417571</v>
      </c>
      <c r="F71" s="34">
        <f t="array" ref="F71">MMULT(A71:C71,$B$4:$B$6)</f>
        <v>7.6545346468052958E-2</v>
      </c>
      <c r="G71" s="35">
        <f>SQRT($P$4*F71^2-2*$P$5*F71+$P$6)</f>
        <v>7.9461143908583332E-2</v>
      </c>
    </row>
    <row r="72" spans="1:7" x14ac:dyDescent="0.3">
      <c r="A72" s="17">
        <v>9.14999614811699E-2</v>
      </c>
      <c r="B72" s="17">
        <v>0.79279437927030671</v>
      </c>
      <c r="C72" s="17">
        <v>0.11570565924852338</v>
      </c>
      <c r="D72" s="20">
        <f>SUM(A72:C72)</f>
        <v>1</v>
      </c>
      <c r="E72" s="17">
        <f t="array" ref="E72">SQRT(MMULT(A72:C72,MMULT($C$4:$E$6,TRANSPOSE(A72:C72))))</f>
        <v>0.11844682587725791</v>
      </c>
      <c r="F72" s="34">
        <f t="array" ref="F72">MMULT(A72:C72,$B$4:$B$6)</f>
        <v>7.6959715882008936E-2</v>
      </c>
      <c r="G72" s="35">
        <f>SQRT($P$4*F72^2-2*$P$5*F72+$P$6)</f>
        <v>7.9733519701447972E-2</v>
      </c>
    </row>
    <row r="73" spans="1:7" x14ac:dyDescent="0.3">
      <c r="A73" s="17">
        <v>0.17147790407467012</v>
      </c>
      <c r="B73" s="17">
        <v>0.67010218816082012</v>
      </c>
      <c r="C73" s="17">
        <v>0.15841990776450976</v>
      </c>
      <c r="D73" s="20">
        <f>SUM(A73:C73)</f>
        <v>1</v>
      </c>
      <c r="E73" s="17">
        <f t="array" ref="E73">SQRT(MMULT(A73:C73,MMULT($C$4:$E$6,TRANSPOSE(A73:C73))))</f>
        <v>9.1621101479347739E-2</v>
      </c>
      <c r="F73" s="34">
        <f t="array" ref="F73">MMULT(A73:C73,$B$4:$B$6)</f>
        <v>7.7223341734014614E-2</v>
      </c>
      <c r="G73" s="35">
        <f>SQRT($P$4*F73^2-2*$P$5*F73+$P$6)</f>
        <v>7.9911931229274535E-2</v>
      </c>
    </row>
    <row r="74" spans="1:7" x14ac:dyDescent="0.3">
      <c r="A74" s="17">
        <v>0.46310546096068905</v>
      </c>
      <c r="B74" s="17">
        <v>0.22597991376781712</v>
      </c>
      <c r="C74" s="17">
        <v>0.31091462527149383</v>
      </c>
      <c r="D74" s="20">
        <f>SUM(A74:C74)</f>
        <v>1</v>
      </c>
      <c r="E74" s="17">
        <f t="array" ref="E74">SQRT(MMULT(A74:C74,MMULT($C$4:$E$6,TRANSPOSE(A74:C74))))</f>
        <v>0.13673985690628518</v>
      </c>
      <c r="F74" s="34">
        <f t="array" ref="F74">MMULT(A74:C74,$B$4:$B$6)</f>
        <v>7.8347432565245984E-2</v>
      </c>
      <c r="G74" s="35">
        <f>SQRT($P$4*F74^2-2*$P$5*F74+$P$6)</f>
        <v>8.0716699820435486E-2</v>
      </c>
    </row>
    <row r="75" spans="1:7" x14ac:dyDescent="0.3">
      <c r="A75" s="17">
        <v>0.36108300206934352</v>
      </c>
      <c r="B75" s="17">
        <v>0.39068795095099318</v>
      </c>
      <c r="C75" s="17">
        <v>0.2482290469796633</v>
      </c>
      <c r="D75" s="20">
        <f>SUM(A75:C75)</f>
        <v>1</v>
      </c>
      <c r="E75" s="17">
        <f t="array" ref="E75">SQRT(MMULT(A75:C75,MMULT($C$4:$E$6,TRANSPOSE(A75:C75))))</f>
        <v>9.7073905500689409E-2</v>
      </c>
      <c r="F75" s="34">
        <f t="array" ref="F75">MMULT(A75:C75,$B$4:$B$6)</f>
        <v>7.842103771309715E-2</v>
      </c>
      <c r="G75" s="35">
        <f>SQRT($P$4*F75^2-2*$P$5*F75+$P$6)</f>
        <v>8.0771851935963701E-2</v>
      </c>
    </row>
    <row r="76" spans="1:7" x14ac:dyDescent="0.3">
      <c r="A76" s="17">
        <v>0.5723697403136917</v>
      </c>
      <c r="B76" s="17">
        <v>6.2380896809372866E-2</v>
      </c>
      <c r="C76" s="17">
        <v>0.36524936287693544</v>
      </c>
      <c r="D76" s="20">
        <f>SUM(A76:C76)</f>
        <v>1</v>
      </c>
      <c r="E76" s="17">
        <f t="array" ref="E76">SQRT(MMULT(A76:C76,MMULT($C$4:$E$6,TRANSPOSE(A76:C76))))</f>
        <v>0.1864343643238088</v>
      </c>
      <c r="F76" s="34">
        <f t="array" ref="F76">MMULT(A76:C76,$B$4:$B$6)</f>
        <v>7.8908624065563981E-2</v>
      </c>
      <c r="G76" s="35">
        <f>SQRT($P$4*F76^2-2*$P$5*F76+$P$6)</f>
        <v>8.1144705169934869E-2</v>
      </c>
    </row>
    <row r="77" spans="1:7" x14ac:dyDescent="0.3">
      <c r="A77" s="17">
        <v>0.28320897711096893</v>
      </c>
      <c r="B77" s="17">
        <v>0.5342059761314254</v>
      </c>
      <c r="C77" s="17">
        <v>0.18258504675760567</v>
      </c>
      <c r="D77" s="20">
        <f>SUM(A77:C77)</f>
        <v>1</v>
      </c>
      <c r="E77" s="17">
        <f t="array" ref="E77">SQRT(MMULT(A77:C77,MMULT($C$4:$E$6,TRANSPOSE(A77:C77))))</f>
        <v>8.1760170852537242E-2</v>
      </c>
      <c r="F77" s="34">
        <f t="array" ref="F77">MMULT(A77:C77,$B$4:$B$6)</f>
        <v>7.936701697544879E-2</v>
      </c>
      <c r="G77" s="35">
        <f>SQRT($P$4*F77^2-2*$P$5*F77+$P$6)</f>
        <v>8.1507015270068608E-2</v>
      </c>
    </row>
    <row r="78" spans="1:7" x14ac:dyDescent="0.3">
      <c r="A78" s="17">
        <v>9.2256548469154431E-2</v>
      </c>
      <c r="B78" s="17">
        <v>0.84908651949577518</v>
      </c>
      <c r="C78" s="17">
        <v>5.8656932035070386E-2</v>
      </c>
      <c r="D78" s="20">
        <f>SUM(A78:C78)</f>
        <v>1</v>
      </c>
      <c r="E78" s="17">
        <f t="array" ref="E78">SQRT(MMULT(A78:C78,MMULT($C$4:$E$6,TRANSPOSE(A78:C78))))</f>
        <v>0.12999418310073235</v>
      </c>
      <c r="F78" s="34">
        <f t="array" ref="F78">MMULT(A78:C78,$B$4:$B$6)</f>
        <v>7.9834849852321116E-2</v>
      </c>
      <c r="G78" s="35">
        <f>SQRT($P$4*F78^2-2*$P$5*F78+$P$6)</f>
        <v>8.1888398442566082E-2</v>
      </c>
    </row>
    <row r="79" spans="1:7" x14ac:dyDescent="0.3">
      <c r="A79" s="17">
        <v>0.62287525858995207</v>
      </c>
      <c r="B79" s="17">
        <v>1.1115855800311381E-2</v>
      </c>
      <c r="C79" s="17">
        <v>0.36600888560973655</v>
      </c>
      <c r="D79" s="20">
        <f>SUM(A79:C79)</f>
        <v>1</v>
      </c>
      <c r="E79" s="17">
        <f t="array" ref="E79">SQRT(MMULT(A79:C79,MMULT($C$4:$E$6,TRANSPOSE(A79:C79))))</f>
        <v>0.20577454073101639</v>
      </c>
      <c r="F79" s="34">
        <f t="array" ref="F79">MMULT(A79:C79,$B$4:$B$6)</f>
        <v>8.0385813477211743E-2</v>
      </c>
      <c r="G79" s="35">
        <f>SQRT($P$4*F79^2-2*$P$5*F79+$P$6)</f>
        <v>8.2352372428262724E-2</v>
      </c>
    </row>
    <row r="80" spans="1:7" x14ac:dyDescent="0.3">
      <c r="A80" s="17">
        <v>0.15297031690896834</v>
      </c>
      <c r="B80" s="17">
        <v>0.76658027516539484</v>
      </c>
      <c r="C80" s="17">
        <v>8.0449407925636818E-2</v>
      </c>
      <c r="D80" s="20">
        <f>SUM(A80:C80)</f>
        <v>1</v>
      </c>
      <c r="E80" s="17">
        <f t="array" ref="E80">SQRT(MMULT(A80:C80,MMULT($C$4:$E$6,TRANSPOSE(A80:C80))))</f>
        <v>0.10887511072484478</v>
      </c>
      <c r="F80" s="34">
        <f t="array" ref="F80">MMULT(A80:C80,$B$4:$B$6)</f>
        <v>8.0566639110987215E-2</v>
      </c>
      <c r="G80" s="35">
        <f>SQRT($P$4*F80^2-2*$P$5*F80+$P$6)</f>
        <v>8.2508099635138318E-2</v>
      </c>
    </row>
    <row r="81" spans="1:7" x14ac:dyDescent="0.3">
      <c r="A81" s="17">
        <v>0.4466887076603725</v>
      </c>
      <c r="B81" s="17">
        <v>0.29944187512415865</v>
      </c>
      <c r="C81" s="17">
        <v>0.25386941721546885</v>
      </c>
      <c r="D81" s="20">
        <f>SUM(A81:C81)</f>
        <v>1</v>
      </c>
      <c r="E81" s="17">
        <f t="array" ref="E81">SQRT(MMULT(A81:C81,MMULT($C$4:$E$6,TRANSPOSE(A81:C81))))</f>
        <v>0.12219502435588284</v>
      </c>
      <c r="F81" s="34">
        <f t="array" ref="F81">MMULT(A81:C81,$B$4:$B$6)</f>
        <v>8.0707190369037729E-2</v>
      </c>
      <c r="G81" s="35">
        <f>SQRT($P$4*F81^2-2*$P$5*F81+$P$6)</f>
        <v>8.2630310036249668E-2</v>
      </c>
    </row>
    <row r="82" spans="1:7" x14ac:dyDescent="0.3">
      <c r="A82" s="17">
        <v>0.3627112360218826</v>
      </c>
      <c r="B82" s="17">
        <v>0.43403605704501336</v>
      </c>
      <c r="C82" s="17">
        <v>0.20325270693310404</v>
      </c>
      <c r="D82" s="20">
        <f>SUM(A82:C82)</f>
        <v>1</v>
      </c>
      <c r="E82" s="17">
        <f t="array" ref="E82">SQRT(MMULT(A82:C82,MMULT($C$4:$E$6,TRANSPOSE(A82:C82))))</f>
        <v>9.3495046657022476E-2</v>
      </c>
      <c r="F82" s="34">
        <f t="array" ref="F82">MMULT(A82:C82,$B$4:$B$6)</f>
        <v>8.0718701734001294E-2</v>
      </c>
      <c r="G82" s="35">
        <f>SQRT($P$4*F82^2-2*$P$5*F82+$P$6)</f>
        <v>8.2640364343173053E-2</v>
      </c>
    </row>
    <row r="83" spans="1:7" x14ac:dyDescent="0.3">
      <c r="A83" s="17">
        <v>0.62233670840537192</v>
      </c>
      <c r="B83" s="17">
        <v>2.1642353735331854E-2</v>
      </c>
      <c r="C83" s="17">
        <v>0.35602093785929623</v>
      </c>
      <c r="D83" s="20">
        <f>SUM(A83:C83)</f>
        <v>1</v>
      </c>
      <c r="E83" s="17">
        <f t="array" ref="E83">SQRT(MMULT(A83:C83,MMULT($C$4:$E$6,TRANSPOSE(A83:C83))))</f>
        <v>0.20355262624059356</v>
      </c>
      <c r="F83" s="34">
        <f t="array" ref="F83">MMULT(A83:C83,$B$4:$B$6)</f>
        <v>8.0869054359196349E-2</v>
      </c>
      <c r="G83" s="35">
        <f>SQRT($P$4*F83^2-2*$P$5*F83+$P$6)</f>
        <v>8.2772310834405532E-2</v>
      </c>
    </row>
    <row r="84" spans="1:7" x14ac:dyDescent="0.3">
      <c r="A84" s="17">
        <v>0.52629872940496625</v>
      </c>
      <c r="B84" s="17">
        <v>0.20781389498020697</v>
      </c>
      <c r="C84" s="17">
        <v>0.26588737561482678</v>
      </c>
      <c r="D84" s="20">
        <f>SUM(A84:C84)</f>
        <v>1</v>
      </c>
      <c r="E84" s="17">
        <f t="array" ref="E84">SQRT(MMULT(A84:C84,MMULT($C$4:$E$6,TRANSPOSE(A84:C84))))</f>
        <v>0.15099259235681864</v>
      </c>
      <c r="F84" s="34">
        <f t="array" ref="F84">MMULT(A84:C84,$B$4:$B$6)</f>
        <v>8.2494593101407651E-2</v>
      </c>
      <c r="G84" s="35">
        <f>SQRT($P$4*F84^2-2*$P$5*F84+$P$6)</f>
        <v>8.4271557083030496E-2</v>
      </c>
    </row>
    <row r="85" spans="1:7" x14ac:dyDescent="0.3">
      <c r="A85" s="17">
        <v>5.4811248966389448E-2</v>
      </c>
      <c r="B85" s="17">
        <v>0.973875183183741</v>
      </c>
      <c r="C85" s="17">
        <v>-2.8686432150130448E-2</v>
      </c>
      <c r="D85" s="20">
        <f>SUM(A85:C85)</f>
        <v>0.99999999999999989</v>
      </c>
      <c r="E85" s="17">
        <f t="array" ref="E85">SQRT(MMULT(A85:C85,MMULT($C$4:$E$6,TRANSPOSE(A85:C85))))</f>
        <v>0.16125406616313756</v>
      </c>
      <c r="F85" s="34">
        <f t="array" ref="F85">MMULT(A85:C85,$B$4:$B$6)</f>
        <v>8.307865907649821E-2</v>
      </c>
      <c r="G85" s="35">
        <f>SQRT($P$4*F85^2-2*$P$5*F85+$P$6)</f>
        <v>8.4841910121096833E-2</v>
      </c>
    </row>
    <row r="86" spans="1:7" x14ac:dyDescent="0.3">
      <c r="A86" s="17">
        <v>0.49035967513108736</v>
      </c>
      <c r="B86" s="17">
        <v>0.29464925664852104</v>
      </c>
      <c r="C86" s="17">
        <v>0.2149910682203916</v>
      </c>
      <c r="D86" s="20">
        <f>SUM(A86:C86)</f>
        <v>1</v>
      </c>
      <c r="E86" s="17">
        <f t="array" ref="E86">SQRT(MMULT(A86:C86,MMULT($C$4:$E$6,TRANSPOSE(A86:C86))))</f>
        <v>0.13056075069140835</v>
      </c>
      <c r="F86" s="34">
        <f t="array" ref="F86">MMULT(A86:C86,$B$4:$B$6)</f>
        <v>8.3961236842913026E-2</v>
      </c>
      <c r="G86" s="35">
        <f>SQRT($P$4*F86^2-2*$P$5*F86+$P$6)</f>
        <v>8.5734417967016335E-2</v>
      </c>
    </row>
    <row r="87" spans="1:7" x14ac:dyDescent="0.3">
      <c r="A87" s="17">
        <v>0.69089505881281432</v>
      </c>
      <c r="B87" s="17">
        <v>6.2049278522116058E-3</v>
      </c>
      <c r="C87" s="17">
        <v>0.30290001333497407</v>
      </c>
      <c r="D87" s="20">
        <f>SUM(A87:C87)</f>
        <v>1</v>
      </c>
      <c r="E87" s="17">
        <f t="array" ref="E87">SQRT(MMULT(A87:C87,MMULT($C$4:$E$6,TRANSPOSE(A87:C87))))</f>
        <v>0.21931502498854311</v>
      </c>
      <c r="F87" s="34">
        <f t="array" ref="F87">MMULT(A87:C87,$B$4:$B$6)</f>
        <v>8.5581851097635733E-2</v>
      </c>
      <c r="G87" s="35">
        <f>SQRT($P$4*F87^2-2*$P$5*F87+$P$6)</f>
        <v>8.7465857255201673E-2</v>
      </c>
    </row>
    <row r="88" spans="1:7" x14ac:dyDescent="0.3">
      <c r="A88" s="17">
        <v>0.3954154497499085</v>
      </c>
      <c r="B88" s="17">
        <v>0.48764680641982872</v>
      </c>
      <c r="C88" s="17">
        <v>0.11693774383026279</v>
      </c>
      <c r="D88" s="20">
        <f>SUM(A88:C88)</f>
        <v>1</v>
      </c>
      <c r="E88" s="17">
        <f t="array" ref="E88">SQRT(MMULT(A88:C88,MMULT($C$4:$E$6,TRANSPOSE(A88:C88))))</f>
        <v>9.516002093570361E-2</v>
      </c>
      <c r="F88" s="34">
        <f t="array" ref="F88">MMULT(A88:C88,$B$4:$B$6)</f>
        <v>8.6015576300984123E-2</v>
      </c>
      <c r="G88" s="35">
        <f>SQRT($P$4*F88^2-2*$P$5*F88+$P$6)</f>
        <v>8.7948857294770699E-2</v>
      </c>
    </row>
    <row r="89" spans="1:7" x14ac:dyDescent="0.3">
      <c r="A89" s="17">
        <v>0.20809800149799118</v>
      </c>
      <c r="B89" s="17">
        <v>0.81488407400639151</v>
      </c>
      <c r="C89" s="17">
        <v>-2.2982075504382693E-2</v>
      </c>
      <c r="D89" s="20">
        <f>SUM(A89:C89)</f>
        <v>0.99999999999999989</v>
      </c>
      <c r="E89" s="17">
        <f t="array" ref="E89">SQRT(MMULT(A89:C89,MMULT($C$4:$E$6,TRANSPOSE(A89:C89))))</f>
        <v>0.11577882426411545</v>
      </c>
      <c r="F89" s="34">
        <f t="array" ref="F89">MMULT(A89:C89,$B$4:$B$6)</f>
        <v>8.7392043820158888E-2</v>
      </c>
      <c r="G89" s="35">
        <f>SQRT($P$4*F89^2-2*$P$5*F89+$P$6)</f>
        <v>8.9534219385716526E-2</v>
      </c>
    </row>
    <row r="90" spans="1:7" x14ac:dyDescent="0.3">
      <c r="A90" s="17">
        <v>0.42774989148115772</v>
      </c>
      <c r="B90" s="17">
        <v>0.46588556345779053</v>
      </c>
      <c r="C90" s="17">
        <v>0.10636454506105175</v>
      </c>
      <c r="D90" s="20">
        <f>SUM(A90:C90)</f>
        <v>1</v>
      </c>
      <c r="E90" s="17">
        <f t="array" ref="E90">SQRT(MMULT(A90:C90,MMULT($C$4:$E$6,TRANSPOSE(A90:C90))))</f>
        <v>0.10122855071806369</v>
      </c>
      <c r="F90" s="34">
        <f t="array" ref="F90">MMULT(A90:C90,$B$4:$B$6)</f>
        <v>8.7514269491382149E-2</v>
      </c>
      <c r="G90" s="35">
        <f>SQRT($P$4*F90^2-2*$P$5*F90+$P$6)</f>
        <v>8.9678759452370194E-2</v>
      </c>
    </row>
    <row r="91" spans="1:7" x14ac:dyDescent="0.3">
      <c r="A91" s="17">
        <v>0.59217398266391752</v>
      </c>
      <c r="B91" s="17">
        <v>0.2028386618632535</v>
      </c>
      <c r="C91" s="17">
        <v>0.20498735547282898</v>
      </c>
      <c r="D91" s="20">
        <f>SUM(A91:C91)</f>
        <v>1</v>
      </c>
      <c r="E91" s="17">
        <f t="array" ref="E91">SQRT(MMULT(A91:C91,MMULT($C$4:$E$6,TRANSPOSE(A91:C91))))</f>
        <v>0.16415022782728481</v>
      </c>
      <c r="F91" s="34">
        <f t="array" ref="F91">MMULT(A91:C91,$B$4:$B$6)</f>
        <v>8.7515851706276071E-2</v>
      </c>
      <c r="G91" s="35">
        <f>SQRT($P$4*F91^2-2*$P$5*F91+$P$6)</f>
        <v>8.9680634475616888E-2</v>
      </c>
    </row>
    <row r="92" spans="1:7" x14ac:dyDescent="0.3">
      <c r="A92" s="17">
        <v>0.26185210904748968</v>
      </c>
      <c r="B92" s="17">
        <v>0.73522536348851453</v>
      </c>
      <c r="C92" s="17">
        <v>2.9225274639957943E-3</v>
      </c>
      <c r="D92" s="20">
        <f>SUM(A92:C92)</f>
        <v>1</v>
      </c>
      <c r="E92" s="17">
        <f t="array" ref="E92">SQRT(MMULT(A92:C92,MMULT($C$4:$E$6,TRANSPOSE(A92:C92))))</f>
        <v>0.10069061916304083</v>
      </c>
      <c r="F92" s="34">
        <f t="array" ref="F92">MMULT(A92:C92,$B$4:$B$6)</f>
        <v>8.7709436898224899E-2</v>
      </c>
      <c r="G92" s="35">
        <f>SQRT($P$4*F92^2-2*$P$5*F92+$P$6)</f>
        <v>8.9910803227880851E-2</v>
      </c>
    </row>
    <row r="93" spans="1:7" x14ac:dyDescent="0.3">
      <c r="A93" s="17">
        <v>0.5112381413857342</v>
      </c>
      <c r="B93" s="17">
        <v>0.33716615694314356</v>
      </c>
      <c r="C93" s="17">
        <v>0.15159570167112224</v>
      </c>
      <c r="D93" s="20">
        <f>SUM(A93:C93)</f>
        <v>1</v>
      </c>
      <c r="E93" s="17">
        <f t="array" ref="E93">SQRT(MMULT(A93:C93,MMULT($C$4:$E$6,TRANSPOSE(A93:C93))))</f>
        <v>0.12850945512474576</v>
      </c>
      <c r="F93" s="34">
        <f t="array" ref="F93">MMULT(A93:C93,$B$4:$B$6)</f>
        <v>8.7757359158015927E-2</v>
      </c>
      <c r="G93" s="35">
        <f>SQRT($P$4*F93^2-2*$P$5*F93+$P$6)</f>
        <v>8.9968013317884218E-2</v>
      </c>
    </row>
    <row r="94" spans="1:7" x14ac:dyDescent="0.3">
      <c r="A94" s="17">
        <v>0.58060400417307945</v>
      </c>
      <c r="B94" s="17">
        <v>0.23397918497226466</v>
      </c>
      <c r="C94" s="17">
        <v>0.18541681085465589</v>
      </c>
      <c r="D94" s="20">
        <f>SUM(A94:C94)</f>
        <v>1</v>
      </c>
      <c r="E94" s="17">
        <f t="array" ref="E94">SQRT(MMULT(A94:C94,MMULT($C$4:$E$6,TRANSPOSE(A94:C94))))</f>
        <v>0.15679788756188925</v>
      </c>
      <c r="F94" s="34">
        <f t="array" ref="F94">MMULT(A94:C94,$B$4:$B$6)</f>
        <v>8.8147279582459589E-2</v>
      </c>
      <c r="G94" s="35">
        <f>SQRT($P$4*F94^2-2*$P$5*F94+$P$6)</f>
        <v>9.0436891085312318E-2</v>
      </c>
    </row>
    <row r="95" spans="1:7" x14ac:dyDescent="0.3">
      <c r="A95" s="17">
        <v>0.58962296424421701</v>
      </c>
      <c r="B95" s="17">
        <v>0.25185350410594654</v>
      </c>
      <c r="C95" s="17">
        <v>0.15852353164983646</v>
      </c>
      <c r="D95" s="20">
        <f>SUM(A95:C95)</f>
        <v>1</v>
      </c>
      <c r="E95" s="17">
        <f t="array" ref="E95">SQRT(MMULT(A95:C95,MMULT($C$4:$E$6,TRANSPOSE(A95:C95))))</f>
        <v>0.1557185695181306</v>
      </c>
      <c r="F95" s="34">
        <f t="array" ref="F95">MMULT(A95:C95,$B$4:$B$6)</f>
        <v>8.9762512344834691E-2</v>
      </c>
      <c r="G95" s="35">
        <f>SQRT($P$4*F95^2-2*$P$5*F95+$P$6)</f>
        <v>9.2441713387740779E-2</v>
      </c>
    </row>
    <row r="96" spans="1:7" x14ac:dyDescent="0.3">
      <c r="A96" s="17">
        <v>0.14698056156315376</v>
      </c>
      <c r="B96" s="17">
        <v>0.96610290118758668</v>
      </c>
      <c r="C96" s="17">
        <v>-0.11308346275074044</v>
      </c>
      <c r="D96" s="20">
        <f>SUM(A96:C96)</f>
        <v>1</v>
      </c>
      <c r="E96" s="17">
        <f t="array" ref="E96">SQRT(MMULT(A96:C96,MMULT($C$4:$E$6,TRANSPOSE(A96:C96))))</f>
        <v>0.1516078041442171</v>
      </c>
      <c r="F96" s="34">
        <f t="array" ref="F96">MMULT(A96:C96,$B$4:$B$6)</f>
        <v>9.0063589984431633E-2</v>
      </c>
      <c r="G96" s="35">
        <f>SQRT($P$4*F96^2-2*$P$5*F96+$P$6)</f>
        <v>9.2826202708294378E-2</v>
      </c>
    </row>
    <row r="97" spans="1:7" x14ac:dyDescent="0.3">
      <c r="A97" s="17">
        <v>0.67231674897153781</v>
      </c>
      <c r="B97" s="17">
        <v>0.14254385940376935</v>
      </c>
      <c r="C97" s="17">
        <v>0.18513939162469284</v>
      </c>
      <c r="D97" s="20">
        <f>SUM(A97:C97)</f>
        <v>1</v>
      </c>
      <c r="E97" s="17">
        <f t="array" ref="E97">SQRT(MMULT(A97:C97,MMULT($C$4:$E$6,TRANSPOSE(A97:C97))))</f>
        <v>0.19014963780345703</v>
      </c>
      <c r="F97" s="34">
        <f t="array" ref="F97">MMULT(A97:C97,$B$4:$B$6)</f>
        <v>9.0912532887911485E-2</v>
      </c>
      <c r="G97" s="35">
        <f>SQRT($P$4*F97^2-2*$P$5*F97+$P$6)</f>
        <v>9.3927919942180721E-2</v>
      </c>
    </row>
    <row r="98" spans="1:7" x14ac:dyDescent="0.3">
      <c r="A98" s="17">
        <v>0.32918511405796558</v>
      </c>
      <c r="B98" s="17">
        <v>0.70837980133876566</v>
      </c>
      <c r="C98" s="17">
        <v>-3.7564915396731235E-2</v>
      </c>
      <c r="D98" s="20">
        <f>SUM(A98:C98)</f>
        <v>1</v>
      </c>
      <c r="E98" s="17">
        <f t="array" ref="E98">SQRT(MMULT(A98:C98,MMULT($C$4:$E$6,TRANSPOSE(A98:C98))))</f>
        <v>9.8982800813299993E-2</v>
      </c>
      <c r="F98" s="34">
        <f t="array" ref="F98">MMULT(A98:C98,$B$4:$B$6)</f>
        <v>9.175379919157553E-2</v>
      </c>
      <c r="G98" s="35">
        <f>SQRT($P$4*F98^2-2*$P$5*F98+$P$6)</f>
        <v>9.5044580142613896E-2</v>
      </c>
    </row>
    <row r="99" spans="1:7" x14ac:dyDescent="0.3">
      <c r="A99" s="17">
        <v>0.43569324562494693</v>
      </c>
      <c r="B99" s="17">
        <v>0.55217185305794181</v>
      </c>
      <c r="C99" s="17">
        <v>1.2134901317111257E-2</v>
      </c>
      <c r="D99" s="20">
        <f>SUM(A99:C99)</f>
        <v>1</v>
      </c>
      <c r="E99" s="17">
        <f t="array" ref="E99">SQRT(MMULT(A99:C99,MMULT($C$4:$E$6,TRANSPOSE(A99:C99))))</f>
        <v>9.9894274476138842E-2</v>
      </c>
      <c r="F99" s="34">
        <f t="array" ref="F99">MMULT(A99:C99,$B$4:$B$6)</f>
        <v>9.2464052302892855E-2</v>
      </c>
      <c r="G99" s="35">
        <f>SQRT($P$4*F99^2-2*$P$5*F99+$P$6)</f>
        <v>9.6006000518657139E-2</v>
      </c>
    </row>
    <row r="100" spans="1:7" x14ac:dyDescent="0.3">
      <c r="A100" s="17">
        <v>0.26725692330574613</v>
      </c>
      <c r="B100" s="17">
        <v>0.82178497304668452</v>
      </c>
      <c r="C100" s="17">
        <v>-8.9041896352430649E-2</v>
      </c>
      <c r="D100" s="20">
        <f>SUM(A100:C100)</f>
        <v>1</v>
      </c>
      <c r="E100" s="17">
        <f t="array" ref="E100">SQRT(MMULT(A100:C100,MMULT($C$4:$E$6,TRANSPOSE(A100:C100))))</f>
        <v>0.116045277347464</v>
      </c>
      <c r="F100" s="34">
        <f t="array" ref="F100">MMULT(A100:C100,$B$4:$B$6)</f>
        <v>9.2469802516793917E-2</v>
      </c>
      <c r="G100" s="35">
        <f>SQRT($P$4*F100^2-2*$P$5*F100+$P$6)</f>
        <v>9.6013852384048193E-2</v>
      </c>
    </row>
    <row r="101" spans="1:7" x14ac:dyDescent="0.3">
      <c r="A101" s="17">
        <v>0.19156818884362303</v>
      </c>
      <c r="B101" s="17">
        <v>0.94390634663182493</v>
      </c>
      <c r="C101" s="17">
        <v>-0.13547453547544797</v>
      </c>
      <c r="D101" s="20">
        <f>SUM(A101:C101)</f>
        <v>0.99999999999999989</v>
      </c>
      <c r="E101" s="17">
        <f t="array" ref="E101">SQRT(MMULT(A101:C101,MMULT($C$4:$E$6,TRANSPOSE(A101:C101))))</f>
        <v>0.14388108866365446</v>
      </c>
      <c r="F101" s="34">
        <f t="array" ref="F101">MMULT(A101:C101,$B$4:$B$6)</f>
        <v>9.2520772439081092E-2</v>
      </c>
      <c r="G101" s="35">
        <f>SQRT($P$4*F101^2-2*$P$5*F101+$P$6)</f>
        <v>9.6083498723692137E-2</v>
      </c>
    </row>
    <row r="102" spans="1:7" x14ac:dyDescent="0.3">
      <c r="A102" s="17">
        <v>0.18276006925691235</v>
      </c>
      <c r="B102" s="17">
        <v>0.96917192370110383</v>
      </c>
      <c r="C102" s="17">
        <v>-0.15193199295801618</v>
      </c>
      <c r="D102" s="20">
        <f>SUM(A102:C102)</f>
        <v>0.99999999999999989</v>
      </c>
      <c r="E102" s="17">
        <f t="array" ref="E102">SQRT(MMULT(A102:C102,MMULT($C$4:$E$6,TRANSPOSE(A102:C102))))</f>
        <v>0.15006437710282006</v>
      </c>
      <c r="F102" s="34">
        <f t="array" ref="F102">MMULT(A102:C102,$B$4:$B$6)</f>
        <v>9.3079401725608177E-2</v>
      </c>
      <c r="G102" s="35">
        <f>SQRT($P$4*F102^2-2*$P$5*F102+$P$6)</f>
        <v>9.6852352251384083E-2</v>
      </c>
    </row>
    <row r="103" spans="1:7" x14ac:dyDescent="0.3">
      <c r="A103" s="17">
        <v>0.73699663819040317</v>
      </c>
      <c r="B103" s="17">
        <v>8.3126909805754101E-2</v>
      </c>
      <c r="C103" s="17">
        <v>0.17987645200384272</v>
      </c>
      <c r="D103" s="20">
        <f>SUM(A103:C103)</f>
        <v>1</v>
      </c>
      <c r="E103" s="17">
        <f t="array" ref="E103">SQRT(MMULT(A103:C103,MMULT($C$4:$E$6,TRANSPOSE(A103:C103))))</f>
        <v>0.21362435205393132</v>
      </c>
      <c r="F103" s="34">
        <f t="array" ref="F103">MMULT(A103:C103,$B$4:$B$6)</f>
        <v>9.3116076545519955E-2</v>
      </c>
      <c r="G103" s="35">
        <f>SQRT($P$4*F103^2-2*$P$5*F103+$P$6)</f>
        <v>9.6903179950982313E-2</v>
      </c>
    </row>
    <row r="104" spans="1:7" x14ac:dyDescent="0.3">
      <c r="A104" s="17">
        <v>0.71712397060205857</v>
      </c>
      <c r="B104" s="17">
        <v>0.12302164464500287</v>
      </c>
      <c r="C104" s="17">
        <v>0.15985438475293856</v>
      </c>
      <c r="D104" s="20">
        <f>SUM(A104:C104)</f>
        <v>1</v>
      </c>
      <c r="E104" s="17">
        <f t="array" ref="E104">SQRT(MMULT(A104:C104,MMULT($C$4:$E$6,TRANSPOSE(A104:C104))))</f>
        <v>0.20249750767970467</v>
      </c>
      <c r="F104" s="34">
        <f t="array" ref="F104">MMULT(A104:C104,$B$4:$B$6)</f>
        <v>9.3520999880414818E-2</v>
      </c>
      <c r="G104" s="35">
        <f>SQRT($P$4*F104^2-2*$P$5*F104+$P$6)</f>
        <v>9.7467200701053747E-2</v>
      </c>
    </row>
    <row r="105" spans="1:7" x14ac:dyDescent="0.3">
      <c r="A105" s="17">
        <v>0.68847990427635908</v>
      </c>
      <c r="B105" s="17">
        <v>0.16910686022963617</v>
      </c>
      <c r="C105" s="17">
        <v>0.14241323549400475</v>
      </c>
      <c r="D105" s="20">
        <f>SUM(A105:C105)</f>
        <v>1</v>
      </c>
      <c r="E105" s="17">
        <f t="array" ref="E105">SQRT(MMULT(A105:C105,MMULT($C$4:$E$6,TRANSPOSE(A105:C105))))</f>
        <v>0.18878187205449753</v>
      </c>
      <c r="F105" s="34">
        <f t="array" ref="F105">MMULT(A105:C105,$B$4:$B$6)</f>
        <v>9.3533735353590539E-2</v>
      </c>
      <c r="G105" s="35">
        <f>SQRT($P$4*F105^2-2*$P$5*F105+$P$6)</f>
        <v>9.7485023873389948E-2</v>
      </c>
    </row>
    <row r="106" spans="1:7" x14ac:dyDescent="0.3">
      <c r="A106" s="17">
        <v>0.61014703550723803</v>
      </c>
      <c r="B106" s="17">
        <v>0.31854217875772761</v>
      </c>
      <c r="C106" s="17">
        <v>7.1310785735034354E-2</v>
      </c>
      <c r="D106" s="20">
        <f>SUM(A106:C106)</f>
        <v>1</v>
      </c>
      <c r="E106" s="17">
        <f t="array" ref="E106">SQRT(MMULT(A106:C106,MMULT($C$4:$E$6,TRANSPOSE(A106:C106))))</f>
        <v>0.15017579466762024</v>
      </c>
      <c r="F106" s="34">
        <f t="array" ref="F106">MMULT(A106:C106,$B$4:$B$6)</f>
        <v>9.4738871778465433E-2</v>
      </c>
      <c r="G106" s="35">
        <f>SQRT($P$4*F106^2-2*$P$5*F106+$P$6)</f>
        <v>9.9194201743395605E-2</v>
      </c>
    </row>
    <row r="107" spans="1:7" x14ac:dyDescent="0.3">
      <c r="A107" s="17">
        <v>0.45269302450430027</v>
      </c>
      <c r="B107" s="17">
        <v>0.57598571772411167</v>
      </c>
      <c r="C107" s="17">
        <v>-2.8678742228411935E-2</v>
      </c>
      <c r="D107" s="20">
        <f>SUM(A107:C107)</f>
        <v>0.99999999999999989</v>
      </c>
      <c r="E107" s="17">
        <f t="array" ref="E107">SQRT(MMULT(A107:C107,MMULT($C$4:$E$6,TRANSPOSE(A107:C107))))</f>
        <v>0.10261625129131952</v>
      </c>
      <c r="F107" s="34">
        <f t="array" ref="F107">MMULT(A107:C107,$B$4:$B$6)</f>
        <v>9.5014727846549601E-2</v>
      </c>
      <c r="G107" s="35">
        <f>SQRT($P$4*F107^2-2*$P$5*F107+$P$6)</f>
        <v>9.9591590115033629E-2</v>
      </c>
    </row>
    <row r="108" spans="1:7" x14ac:dyDescent="0.3">
      <c r="A108" s="17">
        <v>0.37314613969101262</v>
      </c>
      <c r="B108" s="17">
        <v>0.74515322879052026</v>
      </c>
      <c r="C108" s="17">
        <v>-0.11829936848153288</v>
      </c>
      <c r="D108" s="20">
        <f>SUM(A108:C108)</f>
        <v>0.99999999999999989</v>
      </c>
      <c r="E108" s="17">
        <f t="array" ref="E108">SQRT(MMULT(A108:C108,MMULT($C$4:$E$6,TRANSPOSE(A108:C108))))</f>
        <v>0.10672759784082853</v>
      </c>
      <c r="F108" s="34">
        <f t="array" ref="F108">MMULT(A108:C108,$B$4:$B$6)</f>
        <v>9.7109352614807021E-2</v>
      </c>
      <c r="G108" s="35">
        <f>SQRT($P$4*F108^2-2*$P$5*F108+$P$6)</f>
        <v>0.10268009129308968</v>
      </c>
    </row>
    <row r="109" spans="1:7" x14ac:dyDescent="0.3">
      <c r="A109" s="17">
        <v>0.67438944847415683</v>
      </c>
      <c r="B109" s="17">
        <v>0.28139142311496501</v>
      </c>
      <c r="C109" s="17">
        <v>4.4219128410878161E-2</v>
      </c>
      <c r="D109" s="20">
        <f>SUM(A109:C109)</f>
        <v>1</v>
      </c>
      <c r="E109" s="17">
        <f t="array" ref="E109">SQRT(MMULT(A109:C109,MMULT($C$4:$E$6,TRANSPOSE(A109:C109))))</f>
        <v>0.16839407753983196</v>
      </c>
      <c r="F109" s="34">
        <f t="array" ref="F109">MMULT(A109:C109,$B$4:$B$6)</f>
        <v>9.8020727033680796E-2</v>
      </c>
      <c r="G109" s="35">
        <f>SQRT($P$4*F109^2-2*$P$5*F109+$P$6)</f>
        <v>0.10406128130477552</v>
      </c>
    </row>
    <row r="110" spans="1:7" x14ac:dyDescent="0.3">
      <c r="A110" s="17">
        <v>0.65428960332594832</v>
      </c>
      <c r="B110" s="17">
        <v>0.32312877668299089</v>
      </c>
      <c r="C110" s="17">
        <v>2.2581619991060786E-2</v>
      </c>
      <c r="D110" s="20">
        <f>SUM(A110:C110)</f>
        <v>1</v>
      </c>
      <c r="E110" s="17">
        <f t="array" ref="E110">SQRT(MMULT(A110:C110,MMULT($C$4:$E$6,TRANSPOSE(A110:C110))))</f>
        <v>0.15858760663408369</v>
      </c>
      <c r="F110" s="34">
        <f t="array" ref="F110">MMULT(A110:C110,$B$4:$B$6)</f>
        <v>9.84996071002254E-2</v>
      </c>
      <c r="G110" s="35">
        <f>SQRT($P$4*F110^2-2*$P$5*F110+$P$6)</f>
        <v>0.1047956542615824</v>
      </c>
    </row>
    <row r="111" spans="1:7" x14ac:dyDescent="0.3">
      <c r="A111" s="17">
        <v>0.3527210545981313</v>
      </c>
      <c r="B111" s="17">
        <v>0.82368460926298936</v>
      </c>
      <c r="C111" s="17">
        <v>-0.17640566386112067</v>
      </c>
      <c r="D111" s="20">
        <f>SUM(A111:C111)</f>
        <v>1</v>
      </c>
      <c r="E111" s="17">
        <f t="array" ref="E111">SQRT(MMULT(A111:C111,MMULT($C$4:$E$6,TRANSPOSE(A111:C111))))</f>
        <v>0.117959142552753</v>
      </c>
      <c r="F111" s="34">
        <f t="array" ref="F111">MMULT(A111:C111,$B$4:$B$6)</f>
        <v>9.9401914830999971E-2</v>
      </c>
      <c r="G111" s="35">
        <f>SQRT($P$4*F111^2-2*$P$5*F111+$P$6)</f>
        <v>0.10619498096850852</v>
      </c>
    </row>
    <row r="112" spans="1:7" x14ac:dyDescent="0.3">
      <c r="A112" s="17">
        <v>0.85214421264711215</v>
      </c>
      <c r="B112" s="17">
        <v>2.5580002990868822E-2</v>
      </c>
      <c r="C112" s="17">
        <v>0.12227578436201902</v>
      </c>
      <c r="D112" s="20">
        <f>SUM(A112:C112)</f>
        <v>1</v>
      </c>
      <c r="E112" s="17">
        <f t="array" ref="E112">SQRT(MMULT(A112:C112,MMULT($C$4:$E$6,TRANSPOSE(A112:C112))))</f>
        <v>0.24740265735802072</v>
      </c>
      <c r="F112" s="34">
        <f t="array" ref="F112">MMULT(A112:C112,$B$4:$B$6)</f>
        <v>9.9450537161312413E-2</v>
      </c>
      <c r="G112" s="35">
        <f>SQRT($P$4*F112^2-2*$P$5*F112+$P$6)</f>
        <v>0.1062709533525598</v>
      </c>
    </row>
    <row r="113" spans="1:7" x14ac:dyDescent="0.3">
      <c r="A113" s="17">
        <v>0.49102280742193305</v>
      </c>
      <c r="B113" s="17">
        <v>0.63834608107844615</v>
      </c>
      <c r="C113" s="17">
        <v>-0.1293688885003792</v>
      </c>
      <c r="D113" s="20">
        <f>SUM(A113:C113)</f>
        <v>1</v>
      </c>
      <c r="E113" s="17">
        <f t="array" ref="E113">SQRT(MMULT(A113:C113,MMULT($C$4:$E$6,TRANSPOSE(A113:C113))))</f>
        <v>0.11023493063571931</v>
      </c>
      <c r="F113" s="34">
        <f t="array" ref="F113">MMULT(A113:C113,$B$4:$B$6)</f>
        <v>0.10119912864767695</v>
      </c>
      <c r="G113" s="35">
        <f>SQRT($P$4*F113^2-2*$P$5*F113+$P$6)</f>
        <v>0.10904019368560278</v>
      </c>
    </row>
    <row r="114" spans="1:7" x14ac:dyDescent="0.3">
      <c r="A114" s="17">
        <v>0.61338055128036717</v>
      </c>
      <c r="B114" s="17">
        <v>0.44513402371126265</v>
      </c>
      <c r="C114" s="17">
        <v>-5.851457499162982E-2</v>
      </c>
      <c r="D114" s="20">
        <f>SUM(A114:C114)</f>
        <v>1</v>
      </c>
      <c r="E114" s="17">
        <f t="array" ref="E114">SQRT(MMULT(A114:C114,MMULT($C$4:$E$6,TRANSPOSE(A114:C114))))</f>
        <v>0.13716683068050636</v>
      </c>
      <c r="F114" s="34">
        <f t="array" ref="F114">MMULT(A114:C114,$B$4:$B$6)</f>
        <v>0.1013271452879925</v>
      </c>
      <c r="G114" s="35">
        <f>SQRT($P$4*F114^2-2*$P$5*F114+$P$6)</f>
        <v>0.10924568779800921</v>
      </c>
    </row>
    <row r="115" spans="1:7" x14ac:dyDescent="0.3">
      <c r="A115" s="17">
        <v>0.35668361306514751</v>
      </c>
      <c r="B115" s="17">
        <v>0.85654831141708598</v>
      </c>
      <c r="C115" s="17">
        <v>-0.21323192448223349</v>
      </c>
      <c r="D115" s="20">
        <f>SUM(A115:C115)</f>
        <v>0.99999999999999989</v>
      </c>
      <c r="E115" s="17">
        <f t="array" ref="E115">SQRT(MMULT(A115:C115,MMULT($C$4:$E$6,TRANSPOSE(A115:C115))))</f>
        <v>0.12400433109728753</v>
      </c>
      <c r="F115" s="34">
        <f t="array" ref="F115">MMULT(A115:C115,$B$4:$B$6)</f>
        <v>0.10136210461606611</v>
      </c>
      <c r="G115" s="35">
        <f>SQRT($P$4*F115^2-2*$P$5*F115+$P$6)</f>
        <v>0.10930186850604783</v>
      </c>
    </row>
    <row r="116" spans="1:7" x14ac:dyDescent="0.3">
      <c r="A116" s="17">
        <v>0.89300961338824059</v>
      </c>
      <c r="B116" s="17">
        <v>2.8920267144635803E-2</v>
      </c>
      <c r="C116" s="17">
        <v>7.8070119467123611E-2</v>
      </c>
      <c r="D116" s="20">
        <f>SUM(A116:C116)</f>
        <v>1</v>
      </c>
      <c r="E116" s="17">
        <f t="array" ref="E116">SQRT(MMULT(A116:C116,MMULT($C$4:$E$6,TRANSPOSE(A116:C116))))</f>
        <v>0.25522197752915854</v>
      </c>
      <c r="F116" s="34">
        <f t="array" ref="F116">MMULT(A116:C116,$B$4:$B$6)</f>
        <v>0.10288678242829104</v>
      </c>
      <c r="G116" s="35">
        <f>SQRT($P$4*F116^2-2*$P$5*F116+$P$6)</f>
        <v>0.11177792987515095</v>
      </c>
    </row>
    <row r="117" spans="1:7" x14ac:dyDescent="0.3">
      <c r="A117" s="17">
        <v>0.70135703506883074</v>
      </c>
      <c r="B117" s="17">
        <v>0.34057532896446052</v>
      </c>
      <c r="C117" s="17">
        <v>-4.1932364033291258E-2</v>
      </c>
      <c r="D117" s="20">
        <f>SUM(A117:C117)</f>
        <v>0.99999999999999989</v>
      </c>
      <c r="E117" s="17">
        <f t="array" ref="E117">SQRT(MMULT(A117:C117,MMULT($C$4:$E$6,TRANSPOSE(A117:C117))))</f>
        <v>0.16626603505198573</v>
      </c>
      <c r="F117" s="34">
        <f t="array" ref="F117">MMULT(A117:C117,$B$4:$B$6)</f>
        <v>0.1031373292537295</v>
      </c>
      <c r="G117" s="35">
        <f>SQRT($P$4*F117^2-2*$P$5*F117+$P$6)</f>
        <v>0.11218952503185982</v>
      </c>
    </row>
    <row r="118" spans="1:7" x14ac:dyDescent="0.3">
      <c r="A118" s="17">
        <v>0.68459618575328451</v>
      </c>
      <c r="B118" s="17">
        <v>0.3776893802968484</v>
      </c>
      <c r="C118" s="17">
        <v>-6.2285566050132912E-2</v>
      </c>
      <c r="D118" s="20">
        <f>SUM(A118:C118)</f>
        <v>1</v>
      </c>
      <c r="E118" s="17">
        <f t="array" ref="E118">SQRT(MMULT(A118:C118,MMULT($C$4:$E$6,TRANSPOSE(A118:C118))))</f>
        <v>0.15843551946538784</v>
      </c>
      <c r="F118" s="34">
        <f t="array" ref="F118">MMULT(A118:C118,$B$4:$B$6)</f>
        <v>0.10365216387510519</v>
      </c>
      <c r="G118" s="35">
        <f>SQRT($P$4*F118^2-2*$P$5*F118+$P$6)</f>
        <v>0.11303932287825685</v>
      </c>
    </row>
    <row r="119" spans="1:7" x14ac:dyDescent="0.3">
      <c r="A119" s="17">
        <v>0.47947671404077874</v>
      </c>
      <c r="B119" s="17">
        <v>0.71352413031487716</v>
      </c>
      <c r="C119" s="17">
        <v>-0.1930008443556559</v>
      </c>
      <c r="D119" s="20">
        <f>SUM(A119:C119)</f>
        <v>1</v>
      </c>
      <c r="E119" s="17">
        <f t="array" ref="E119">SQRT(MMULT(A119:C119,MMULT($C$4:$E$6,TRANSPOSE(A119:C119))))</f>
        <v>0.11373595316245777</v>
      </c>
      <c r="F119" s="34">
        <f t="array" ref="F119">MMULT(A119:C119,$B$4:$B$6)</f>
        <v>0.10403434363900615</v>
      </c>
      <c r="G119" s="35">
        <f>SQRT($P$4*F119^2-2*$P$5*F119+$P$6)</f>
        <v>0.11367360869754443</v>
      </c>
    </row>
    <row r="120" spans="1:7" x14ac:dyDescent="0.3">
      <c r="A120" s="17">
        <v>0.82399763415587102</v>
      </c>
      <c r="B120" s="17">
        <v>0.19774143775553321</v>
      </c>
      <c r="C120" s="17">
        <v>-2.1739071911404229E-2</v>
      </c>
      <c r="D120" s="20">
        <f>SUM(A120:C120)</f>
        <v>0.99999999999999989</v>
      </c>
      <c r="E120" s="17">
        <f t="array" ref="E120">SQRT(MMULT(A120:C120,MMULT($C$4:$E$6,TRANSPOSE(A120:C120))))</f>
        <v>0.21235210867642582</v>
      </c>
      <c r="F120" s="34">
        <f t="array" ref="F120">MMULT(A120:C120,$B$4:$B$6)</f>
        <v>0.10580688262024635</v>
      </c>
      <c r="G120" s="35">
        <f>SQRT($P$4*F120^2-2*$P$5*F120+$P$6)</f>
        <v>0.11665239116721129</v>
      </c>
    </row>
    <row r="121" spans="1:7" x14ac:dyDescent="0.3">
      <c r="A121" s="17">
        <v>0.55741130282993934</v>
      </c>
      <c r="B121" s="17">
        <v>0.63345903410398308</v>
      </c>
      <c r="C121" s="17">
        <v>-0.19087033693392241</v>
      </c>
      <c r="D121" s="20">
        <f>SUM(A121:C121)</f>
        <v>1</v>
      </c>
      <c r="E121" s="17">
        <f t="array" ref="E121">SQRT(MMULT(A121:C121,MMULT($C$4:$E$6,TRANSPOSE(A121:C121))))</f>
        <v>0.12083019042317186</v>
      </c>
      <c r="F121" s="34">
        <f t="array" ref="F121">MMULT(A121:C121,$B$4:$B$6)</f>
        <v>0.10626585593159431</v>
      </c>
      <c r="G121" s="35">
        <f>SQRT($P$4*F121^2-2*$P$5*F121+$P$6)</f>
        <v>0.11743325017290825</v>
      </c>
    </row>
    <row r="122" spans="1:7" x14ac:dyDescent="0.3">
      <c r="A122" s="17">
        <v>0.44174887760326187</v>
      </c>
      <c r="B122" s="17">
        <v>0.85777149641868844</v>
      </c>
      <c r="C122" s="17">
        <v>-0.29952037402195031</v>
      </c>
      <c r="D122" s="20">
        <f>SUM(A122:C122)</f>
        <v>1</v>
      </c>
      <c r="E122" s="17">
        <f t="array" ref="E122">SQRT(MMULT(A122:C122,MMULT($C$4:$E$6,TRANSPOSE(A122:C122))))</f>
        <v>0.12880018028002552</v>
      </c>
      <c r="F122" s="34">
        <f t="array" ref="F122">MMULT(A122:C122,$B$4:$B$6)</f>
        <v>0.10822848502919537</v>
      </c>
      <c r="G122" s="35">
        <f>SQRT($P$4*F122^2-2*$P$5*F122+$P$6)</f>
        <v>0.1208139853130908</v>
      </c>
    </row>
    <row r="123" spans="1:7" x14ac:dyDescent="0.3">
      <c r="A123" s="17">
        <v>0.96176223581594711</v>
      </c>
      <c r="B123" s="17">
        <v>2.6440039748249045E-2</v>
      </c>
      <c r="C123" s="17">
        <v>1.1797724435803847E-2</v>
      </c>
      <c r="D123" s="20">
        <f>SUM(A123:C123)</f>
        <v>1</v>
      </c>
      <c r="E123" s="17">
        <f t="array" ref="E123">SQRT(MMULT(A123:C123,MMULT($C$4:$E$6,TRANSPOSE(A123:C123))))</f>
        <v>0.27008251986940052</v>
      </c>
      <c r="F123" s="34">
        <f t="array" ref="F123">MMULT(A123:C123,$B$4:$B$6)</f>
        <v>0.10826298085268823</v>
      </c>
      <c r="G123" s="35">
        <f>SQRT($P$4*F123^2-2*$P$5*F123+$P$6)</f>
        <v>0.12087398930422726</v>
      </c>
    </row>
    <row r="124" spans="1:7" x14ac:dyDescent="0.3">
      <c r="A124" s="17">
        <v>0.93231845662448187</v>
      </c>
      <c r="B124" s="17">
        <v>9.1668979667433592E-2</v>
      </c>
      <c r="C124" s="17">
        <v>-2.3987436291915465E-2</v>
      </c>
      <c r="D124" s="20">
        <f>SUM(A124:C124)</f>
        <v>1</v>
      </c>
      <c r="E124" s="17">
        <f t="array" ref="E124">SQRT(MMULT(A124:C124,MMULT($C$4:$E$6,TRANSPOSE(A124:C124))))</f>
        <v>0.25263127351198389</v>
      </c>
      <c r="F124" s="34">
        <f t="array" ref="F124">MMULT(A124:C124,$B$4:$B$6)</f>
        <v>0.10916892551333023</v>
      </c>
      <c r="G124" s="35">
        <f>SQRT($P$4*F124^2-2*$P$5*F124+$P$6)</f>
        <v>0.12245675491417018</v>
      </c>
    </row>
    <row r="125" spans="1:7" x14ac:dyDescent="0.3">
      <c r="A125" s="17">
        <v>0.44927850922190915</v>
      </c>
      <c r="B125" s="17">
        <v>0.88063755057802562</v>
      </c>
      <c r="C125" s="17">
        <v>-0.32991605979993477</v>
      </c>
      <c r="D125" s="20">
        <f>SUM(A125:C125)</f>
        <v>0.99999999999999989</v>
      </c>
      <c r="E125" s="17">
        <f t="array" ref="E125">SQRT(MMULT(A125:C125,MMULT($C$4:$E$6,TRANSPOSE(A125:C125))))</f>
        <v>0.13316655490347978</v>
      </c>
      <c r="F125" s="34">
        <f t="array" ref="F125">MMULT(A125:C125,$B$4:$B$6)</f>
        <v>0.10997415826665401</v>
      </c>
      <c r="G125" s="35">
        <f>SQRT($P$4*F125^2-2*$P$5*F125+$P$6)</f>
        <v>0.12387447409637224</v>
      </c>
    </row>
    <row r="126" spans="1:7" x14ac:dyDescent="0.3">
      <c r="A126" s="17">
        <v>0.85585425807185278</v>
      </c>
      <c r="B126" s="17">
        <v>0.24311130410233606</v>
      </c>
      <c r="C126" s="17">
        <v>-9.8965562174188837E-2</v>
      </c>
      <c r="D126" s="20">
        <f>SUM(A126:C126)</f>
        <v>0.99999999999999989</v>
      </c>
      <c r="E126" s="17">
        <f t="array" ref="E126">SQRT(MMULT(A126:C126,MMULT($C$4:$E$6,TRANSPOSE(A126:C126))))</f>
        <v>0.21254885569711121</v>
      </c>
      <c r="F126" s="34">
        <f t="array" ref="F126">MMULT(A126:C126,$B$4:$B$6)</f>
        <v>0.11062390585086503</v>
      </c>
      <c r="G126" s="35">
        <f>SQRT($P$4*F126^2-2*$P$5*F126+$P$6)</f>
        <v>0.12502567506674173</v>
      </c>
    </row>
    <row r="127" spans="1:7" x14ac:dyDescent="0.3">
      <c r="A127" s="17">
        <v>0.70529813521299789</v>
      </c>
      <c r="B127" s="17">
        <v>0.51108990939339083</v>
      </c>
      <c r="C127" s="17">
        <v>-0.21638804460638872</v>
      </c>
      <c r="D127" s="20">
        <f>SUM(A127:C127)</f>
        <v>0.99999999999999989</v>
      </c>
      <c r="E127" s="17">
        <f t="array" ref="E127">SQRT(MMULT(A127:C127,MMULT($C$4:$E$6,TRANSPOSE(A127:C127))))</f>
        <v>0.15181371904904067</v>
      </c>
      <c r="F127" s="34">
        <f t="array" ref="F127">MMULT(A127:C127,$B$4:$B$6)</f>
        <v>0.11197834628670938</v>
      </c>
      <c r="G127" s="35">
        <f>SQRT($P$4*F127^2-2*$P$5*F127+$P$6)</f>
        <v>0.12744538699211502</v>
      </c>
    </row>
    <row r="128" spans="1:7" x14ac:dyDescent="0.3">
      <c r="A128" s="17">
        <v>0.75728667380349901</v>
      </c>
      <c r="B128" s="17">
        <v>0.42808440786276503</v>
      </c>
      <c r="C128" s="17">
        <v>-0.18537108166626404</v>
      </c>
      <c r="D128" s="20">
        <f>SUM(A128:C128)</f>
        <v>0.99999999999999989</v>
      </c>
      <c r="E128" s="17">
        <f t="array" ref="E128">SQRT(MMULT(A128:C128,MMULT($C$4:$E$6,TRANSPOSE(A128:C128))))</f>
        <v>0.16906967626342628</v>
      </c>
      <c r="F128" s="34">
        <f t="array" ref="F128">MMULT(A128:C128,$B$4:$B$6)</f>
        <v>0.11198715429741818</v>
      </c>
      <c r="G128" s="35">
        <f>SQRT($P$4*F128^2-2*$P$5*F128+$P$6)</f>
        <v>0.12746120833191574</v>
      </c>
    </row>
    <row r="129" spans="1:7" x14ac:dyDescent="0.3">
      <c r="A129" s="17">
        <v>0.96057950864196218</v>
      </c>
      <c r="B129" s="17">
        <v>0.1142988962535143</v>
      </c>
      <c r="C129" s="17">
        <v>-7.487840489547648E-2</v>
      </c>
      <c r="D129" s="20">
        <f>SUM(A129:C129)</f>
        <v>1</v>
      </c>
      <c r="E129" s="17">
        <f t="array" ref="E129">SQRT(MMULT(A129:C129,MMULT($C$4:$E$6,TRANSPOSE(A129:C129))))</f>
        <v>0.25500512799556085</v>
      </c>
      <c r="F129" s="34">
        <f t="array" ref="F129">MMULT(A129:C129,$B$4:$B$6)</f>
        <v>0.11256130550403269</v>
      </c>
      <c r="G129" s="35">
        <f>SQRT($P$4*F129^2-2*$P$5*F129+$P$6)</f>
        <v>0.12849485125513366</v>
      </c>
    </row>
    <row r="130" spans="1:7" x14ac:dyDescent="0.3">
      <c r="A130" s="17">
        <v>0.50861665595182282</v>
      </c>
      <c r="B130" s="17">
        <v>0.84921809659097203</v>
      </c>
      <c r="C130" s="17">
        <v>-0.35783475254279484</v>
      </c>
      <c r="D130" s="20">
        <f>SUM(A130:C130)</f>
        <v>0.99999999999999989</v>
      </c>
      <c r="E130" s="17">
        <f t="array" ref="E130">SQRT(MMULT(A130:C130,MMULT($C$4:$E$6,TRANSPOSE(A130:C130))))</f>
        <v>0.13331656280895943</v>
      </c>
      <c r="F130" s="34">
        <f t="array" ref="F130">MMULT(A130:C130,$B$4:$B$6)</f>
        <v>0.11315023730569444</v>
      </c>
      <c r="G130" s="35">
        <f>SQRT($P$4*F130^2-2*$P$5*F130+$P$6)</f>
        <v>0.12955978829283413</v>
      </c>
    </row>
    <row r="131" spans="1:7" x14ac:dyDescent="0.3">
      <c r="A131" s="17">
        <v>0.63657482237542717</v>
      </c>
      <c r="B131" s="17">
        <v>0.66915080289723639</v>
      </c>
      <c r="C131" s="17">
        <v>-0.30572562527266356</v>
      </c>
      <c r="D131" s="20">
        <f>SUM(A131:C131)</f>
        <v>1</v>
      </c>
      <c r="E131" s="17">
        <f t="array" ref="E131">SQRT(MMULT(A131:C131,MMULT($C$4:$E$6,TRANSPOSE(A131:C131))))</f>
        <v>0.13590222862962195</v>
      </c>
      <c r="F131" s="34">
        <f t="array" ref="F131">MMULT(A131:C131,$B$4:$B$6)</f>
        <v>0.11438352593489601</v>
      </c>
      <c r="G131" s="35">
        <f>SQRT($P$4*F131^2-2*$P$5*F131+$P$6)</f>
        <v>0.13180474859894278</v>
      </c>
    </row>
    <row r="132" spans="1:7" x14ac:dyDescent="0.3">
      <c r="A132" s="17">
        <v>0.79642950268862778</v>
      </c>
      <c r="B132" s="17">
        <v>0.42512631294357595</v>
      </c>
      <c r="C132" s="17">
        <v>-0.22155581563220372</v>
      </c>
      <c r="D132" s="20">
        <f>SUM(A132:C132)</f>
        <v>1</v>
      </c>
      <c r="E132" s="17">
        <f t="array" ref="E132">SQRT(MMULT(A132:C132,MMULT($C$4:$E$6,TRANSPOSE(A132:C132))))</f>
        <v>0.17792796184311954</v>
      </c>
      <c r="F132" s="34">
        <f t="array" ref="F132">MMULT(A132:C132,$B$4:$B$6)</f>
        <v>0.11497067586226903</v>
      </c>
      <c r="G132" s="35">
        <f>SQRT($P$4*F132^2-2*$P$5*F132+$P$6)</f>
        <v>0.13288037618687576</v>
      </c>
    </row>
    <row r="133" spans="1:7" x14ac:dyDescent="0.3">
      <c r="A133" s="17">
        <v>0.58944048029588625</v>
      </c>
      <c r="B133" s="17">
        <v>0.76073944447105013</v>
      </c>
      <c r="C133" s="17">
        <v>-0.35017992476693638</v>
      </c>
      <c r="D133" s="20">
        <f>SUM(A133:C133)</f>
        <v>1</v>
      </c>
      <c r="E133" s="17">
        <f t="array" ref="E133">SQRT(MMULT(A133:C133,MMULT($C$4:$E$6,TRANSPOSE(A133:C133))))</f>
        <v>0.13332789785131458</v>
      </c>
      <c r="F133" s="34">
        <f t="array" ref="F133">MMULT(A133:C133,$B$4:$B$6)</f>
        <v>0.11519221064722342</v>
      </c>
      <c r="G133" s="35">
        <f>SQRT($P$4*F133^2-2*$P$5*F133+$P$6)</f>
        <v>0.13328732988920719</v>
      </c>
    </row>
    <row r="134" spans="1:7" x14ac:dyDescent="0.3">
      <c r="A134" s="17">
        <v>0.93849132740363328</v>
      </c>
      <c r="B134" s="17">
        <v>0.20569414199206881</v>
      </c>
      <c r="C134" s="17">
        <v>-0.14418546939570209</v>
      </c>
      <c r="D134" s="20">
        <f>SUM(A134:C134)</f>
        <v>1</v>
      </c>
      <c r="E134" s="17">
        <f t="array" ref="E134">SQRT(MMULT(A134:C134,MMULT($C$4:$E$6,TRANSPOSE(A134:C134))))</f>
        <v>0.23610236899782286</v>
      </c>
      <c r="F134" s="34">
        <f t="array" ref="F134">MMULT(A134:C134,$B$4:$B$6)</f>
        <v>0.11536401329189411</v>
      </c>
      <c r="G134" s="35">
        <f>SQRT($P$4*F134^2-2*$P$5*F134+$P$6)</f>
        <v>0.13360334136036647</v>
      </c>
    </row>
    <row r="135" spans="1:7" x14ac:dyDescent="0.3">
      <c r="A135" s="17">
        <v>0.60221986735458943</v>
      </c>
      <c r="B135" s="17">
        <v>0.74642602564051563</v>
      </c>
      <c r="C135" s="17">
        <v>-0.34864589299510507</v>
      </c>
      <c r="D135" s="20">
        <f>SUM(A135:C135)</f>
        <v>1</v>
      </c>
      <c r="E135" s="17">
        <f t="array" ref="E135">SQRT(MMULT(A135:C135,MMULT($C$4:$E$6,TRANSPOSE(A135:C135))))</f>
        <v>0.13414428096813794</v>
      </c>
      <c r="F135" s="34">
        <f t="array" ref="F135">MMULT(A135:C135,$B$4:$B$6)</f>
        <v>0.11549889067039293</v>
      </c>
      <c r="G135" s="35">
        <f>SQRT($P$4*F135^2-2*$P$5*F135+$P$6)</f>
        <v>0.13385168483070142</v>
      </c>
    </row>
    <row r="136" spans="1:7" x14ac:dyDescent="0.3">
      <c r="A136" s="17">
        <v>0.97499968196140296</v>
      </c>
      <c r="B136" s="17">
        <v>0.17215722366684816</v>
      </c>
      <c r="C136" s="17">
        <v>-0.14715690562825112</v>
      </c>
      <c r="D136" s="20">
        <f>SUM(A136:C136)</f>
        <v>1</v>
      </c>
      <c r="E136" s="17">
        <f t="array" ref="E136">SQRT(MMULT(A136:C136,MMULT($C$4:$E$6,TRANSPOSE(A136:C136))))</f>
        <v>0.24913564079196965</v>
      </c>
      <c r="F136" s="34">
        <f t="array" ref="F136">MMULT(A136:C136,$B$4:$B$6)</f>
        <v>0.11660783574025464</v>
      </c>
      <c r="G136" s="35">
        <f>SQRT($P$4*F136^2-2*$P$5*F136+$P$6)</f>
        <v>0.13590177045745691</v>
      </c>
    </row>
    <row r="137" spans="1:7" x14ac:dyDescent="0.3">
      <c r="A137" s="17">
        <v>0.46474549339275739</v>
      </c>
      <c r="B137" s="17">
        <v>0.99178071151737279</v>
      </c>
      <c r="C137" s="17">
        <v>-0.45652620491013018</v>
      </c>
      <c r="D137" s="20">
        <f>SUM(A137:C137)</f>
        <v>1</v>
      </c>
      <c r="E137" s="17">
        <f t="array" ref="E137">SQRT(MMULT(A137:C137,MMULT($C$4:$E$6,TRANSPOSE(A137:C137))))</f>
        <v>0.15449745520195876</v>
      </c>
      <c r="F137" s="34">
        <f t="array" ref="F137">MMULT(A137:C137,$B$4:$B$6)</f>
        <v>0.11676867504728924</v>
      </c>
      <c r="G137" s="35">
        <f>SQRT($P$4*F137^2-2*$P$5*F137+$P$6)</f>
        <v>0.13620030729890703</v>
      </c>
    </row>
    <row r="138" spans="1:7" x14ac:dyDescent="0.3">
      <c r="A138" s="17">
        <v>0.96518652293576013</v>
      </c>
      <c r="B138" s="17">
        <v>0.19845817380736264</v>
      </c>
      <c r="C138" s="17">
        <v>-0.16364469674312276</v>
      </c>
      <c r="D138" s="20">
        <f>SUM(A138:C138)</f>
        <v>1</v>
      </c>
      <c r="E138" s="17">
        <f t="array" ref="E138">SQRT(MMULT(A138:C138,MMULT($C$4:$E$6,TRANSPOSE(A138:C138))))</f>
        <v>0.2430692084541396</v>
      </c>
      <c r="F138" s="34">
        <f t="array" ref="F138">MMULT(A138:C138,$B$4:$B$6)</f>
        <v>0.11713783052522896</v>
      </c>
      <c r="G138" s="35">
        <f>SQRT($P$4*F138^2-2*$P$5*F138+$P$6)</f>
        <v>0.13688662425372594</v>
      </c>
    </row>
    <row r="139" spans="1:7" x14ac:dyDescent="0.3">
      <c r="A139" s="17">
        <v>0.50793359503848368</v>
      </c>
      <c r="B139" s="17">
        <v>0.96128492957180345</v>
      </c>
      <c r="C139" s="17">
        <v>-0.46921852461028712</v>
      </c>
      <c r="D139" s="20">
        <f>SUM(A139:C139)</f>
        <v>1</v>
      </c>
      <c r="E139" s="17">
        <f t="array" ref="E139">SQRT(MMULT(A139:C139,MMULT($C$4:$E$6,TRANSPOSE(A139:C139))))</f>
        <v>0.15151485123906741</v>
      </c>
      <c r="F139" s="34">
        <f t="array" ref="F139">MMULT(A139:C139,$B$4:$B$6)</f>
        <v>0.11869893408166889</v>
      </c>
      <c r="G139" s="35">
        <f>SQRT($P$4*F139^2-2*$P$5*F139+$P$6)</f>
        <v>0.13980573423769421</v>
      </c>
    </row>
    <row r="140" spans="1:7" x14ac:dyDescent="0.3">
      <c r="A140" s="17">
        <v>0.88758387922116766</v>
      </c>
      <c r="B140" s="17">
        <v>0.36044507960410288</v>
      </c>
      <c r="C140" s="17">
        <v>-0.24802895882527054</v>
      </c>
      <c r="D140" s="20">
        <f>SUM(A140:C140)</f>
        <v>0.99999999999999989</v>
      </c>
      <c r="E140" s="17">
        <f t="array" ref="E140">SQRT(MMULT(A140:C140,MMULT($C$4:$E$6,TRANSPOSE(A140:C140))))</f>
        <v>0.2047902340973819</v>
      </c>
      <c r="F140" s="34">
        <f t="array" ref="F140">MMULT(A140:C140,$B$4:$B$6)</f>
        <v>0.11902896431789857</v>
      </c>
      <c r="G140" s="35">
        <f>SQRT($P$4*F140^2-2*$P$5*F140+$P$6)</f>
        <v>0.14042622877042887</v>
      </c>
    </row>
    <row r="141" spans="1:7" x14ac:dyDescent="0.3">
      <c r="A141" s="17">
        <v>0.72216011755546772</v>
      </c>
      <c r="B141" s="17">
        <v>0.67218880205891307</v>
      </c>
      <c r="C141" s="17">
        <v>-0.39434891961438079</v>
      </c>
      <c r="D141" s="20">
        <f>SUM(A141:C141)</f>
        <v>1</v>
      </c>
      <c r="E141" s="17">
        <f t="array" ref="E141">SQRT(MMULT(A141:C141,MMULT($C$4:$E$6,TRANSPOSE(A141:C141))))</f>
        <v>0.15222060708095092</v>
      </c>
      <c r="F141" s="34">
        <f t="array" ref="F141">MMULT(A141:C141,$B$4:$B$6)</f>
        <v>0.12138224950738308</v>
      </c>
      <c r="G141" s="35">
        <f>SQRT($P$4*F141^2-2*$P$5*F141+$P$6)</f>
        <v>0.14488289389493317</v>
      </c>
    </row>
    <row r="142" spans="1:7" x14ac:dyDescent="0.3">
      <c r="A142" s="17">
        <v>0.53545475585915014</v>
      </c>
      <c r="B142" s="17">
        <v>0.97254866580582688</v>
      </c>
      <c r="C142" s="17">
        <v>-0.50800342166497703</v>
      </c>
      <c r="D142" s="20">
        <f>SUM(A142:C142)</f>
        <v>1</v>
      </c>
      <c r="E142" s="17">
        <f t="array" ref="E142">SQRT(MMULT(A142:C142,MMULT($C$4:$E$6,TRANSPOSE(A142:C142))))</f>
        <v>0.15565705562171553</v>
      </c>
      <c r="F142" s="34">
        <f t="array" ref="F142">MMULT(A142:C142,$B$4:$B$6)</f>
        <v>0.12146381375902336</v>
      </c>
      <c r="G142" s="35">
        <f>SQRT($P$4*F142^2-2*$P$5*F142+$P$6)</f>
        <v>0.1450383375140564</v>
      </c>
    </row>
    <row r="143" spans="1:7" x14ac:dyDescent="0.3">
      <c r="A143" s="17">
        <v>0.75950000765957948</v>
      </c>
      <c r="B143" s="17">
        <v>0.62425340437413279</v>
      </c>
      <c r="C143" s="17">
        <v>-0.38375341203371227</v>
      </c>
      <c r="D143" s="20">
        <f>SUM(A143:C143)</f>
        <v>1</v>
      </c>
      <c r="E143" s="17">
        <f t="array" ref="E143">SQRT(MMULT(A143:C143,MMULT($C$4:$E$6,TRANSPOSE(A143:C143))))</f>
        <v>0.15958964477868803</v>
      </c>
      <c r="F143" s="34">
        <f t="array" ref="F143">MMULT(A143:C143,$B$4:$B$6)</f>
        <v>0.12197267083147301</v>
      </c>
      <c r="G143" s="35">
        <f>SQRT($P$4*F143^2-2*$P$5*F143+$P$6)</f>
        <v>0.14600952879428414</v>
      </c>
    </row>
    <row r="144" spans="1:7" x14ac:dyDescent="0.3">
      <c r="A144" s="17">
        <v>0.56111583797623887</v>
      </c>
      <c r="B144" s="17">
        <v>0.94641650746404982</v>
      </c>
      <c r="C144" s="17">
        <v>-0.50753234544028869</v>
      </c>
      <c r="D144" s="20">
        <f>SUM(A144:C144)</f>
        <v>1</v>
      </c>
      <c r="E144" s="17">
        <f t="array" ref="E144">SQRT(MMULT(A144:C144,MMULT($C$4:$E$6,TRANSPOSE(A144:C144))))</f>
        <v>0.15350371752972525</v>
      </c>
      <c r="F144" s="34">
        <f t="array" ref="F144">MMULT(A144:C144,$B$4:$B$6)</f>
        <v>0.1222100924113016</v>
      </c>
      <c r="G144" s="35">
        <f>SQRT($P$4*F144^2-2*$P$5*F144+$P$6)</f>
        <v>0.14646349440249834</v>
      </c>
    </row>
    <row r="145" spans="1:7" x14ac:dyDescent="0.3">
      <c r="A145" s="17">
        <v>0.54744034479325554</v>
      </c>
      <c r="B145" s="17">
        <v>0.99333929222247774</v>
      </c>
      <c r="C145" s="17">
        <v>-0.54077963701573328</v>
      </c>
      <c r="D145" s="20">
        <f>SUM(A145:C145)</f>
        <v>0.99999999999999989</v>
      </c>
      <c r="E145" s="17">
        <f t="array" ref="E145">SQRT(MMULT(A145:C145,MMULT($C$4:$E$6,TRANSPOSE(A145:C145))))</f>
        <v>0.16031202266507683</v>
      </c>
      <c r="F145" s="34">
        <f t="array" ref="F145">MMULT(A145:C145,$B$4:$B$6)</f>
        <v>0.12346219219458435</v>
      </c>
      <c r="G145" s="35">
        <f>SQRT($P$4*F145^2-2*$P$5*F145+$P$6)</f>
        <v>0.14886609307367377</v>
      </c>
    </row>
    <row r="146" spans="1:7" x14ac:dyDescent="0.3">
      <c r="A146" s="17">
        <v>0.58035450717005188</v>
      </c>
      <c r="B146" s="17">
        <v>0.94189323951747739</v>
      </c>
      <c r="C146" s="17">
        <v>-0.52224774668752927</v>
      </c>
      <c r="D146" s="20">
        <f>SUM(A146:C146)</f>
        <v>1</v>
      </c>
      <c r="E146" s="17">
        <f t="array" ref="E146">SQRT(MMULT(A146:C146,MMULT($C$4:$E$6,TRANSPOSE(A146:C146))))</f>
        <v>0.15469715130162925</v>
      </c>
      <c r="F146" s="34">
        <f t="array" ref="F146">MMULT(A146:C146,$B$4:$B$6)</f>
        <v>0.12352302254947803</v>
      </c>
      <c r="G146" s="35">
        <f>SQRT($P$4*F146^2-2*$P$5*F146+$P$6)</f>
        <v>0.14898317454782142</v>
      </c>
    </row>
    <row r="147" spans="1:7" x14ac:dyDescent="0.3">
      <c r="A147" s="17">
        <v>0.90026465090189722</v>
      </c>
      <c r="B147" s="17">
        <v>0.43761055758583978</v>
      </c>
      <c r="C147" s="17">
        <v>-0.337875208487737</v>
      </c>
      <c r="D147" s="20">
        <f>SUM(A147:C147)</f>
        <v>1</v>
      </c>
      <c r="E147" s="17">
        <f t="array" ref="E147">SQRT(MMULT(A147:C147,MMULT($C$4:$E$6,TRANSPOSE(A147:C147))))</f>
        <v>0.20004637066980679</v>
      </c>
      <c r="F147" s="34">
        <f t="array" ref="F147">MMULT(A147:C147,$B$4:$B$6)</f>
        <v>0.12390169995144379</v>
      </c>
      <c r="G147" s="35">
        <f>SQRT($P$4*F147^2-2*$P$5*F147+$P$6)</f>
        <v>0.14971275036661619</v>
      </c>
    </row>
    <row r="148" spans="1:7" x14ac:dyDescent="0.3">
      <c r="A148" s="17">
        <v>0.93329658751701383</v>
      </c>
      <c r="B148" s="17">
        <v>0.39165020397708172</v>
      </c>
      <c r="C148" s="17">
        <v>-0.32494679149409555</v>
      </c>
      <c r="D148" s="20">
        <f>SUM(A148:C148)</f>
        <v>1</v>
      </c>
      <c r="E148" s="17">
        <f t="array" ref="E148">SQRT(MMULT(A148:C148,MMULT($C$4:$E$6,TRANSPOSE(A148:C148))))</f>
        <v>0.21184852792033612</v>
      </c>
      <c r="F148" s="34">
        <f t="array" ref="F148">MMULT(A148:C148,$B$4:$B$6)</f>
        <v>0.12424623720021519</v>
      </c>
      <c r="G148" s="35">
        <f>SQRT($P$4*F148^2-2*$P$5*F148+$P$6)</f>
        <v>0.15037762840730631</v>
      </c>
    </row>
    <row r="149" spans="1:7" x14ac:dyDescent="0.3">
      <c r="A149" s="17">
        <v>0.66626197508981855</v>
      </c>
      <c r="B149" s="17">
        <v>0.82931737052114496</v>
      </c>
      <c r="C149" s="17">
        <v>-0.49557934561096351</v>
      </c>
      <c r="D149" s="20">
        <f>SUM(A149:C149)</f>
        <v>1</v>
      </c>
      <c r="E149" s="17">
        <f t="array" ref="E149">SQRT(MMULT(A149:C149,MMULT($C$4:$E$6,TRANSPOSE(A149:C149))))</f>
        <v>0.15138449338933418</v>
      </c>
      <c r="F149" s="34">
        <f t="array" ref="F149">MMULT(A149:C149,$B$4:$B$6)</f>
        <v>0.12476682653324273</v>
      </c>
      <c r="G149" s="35">
        <f>SQRT($P$4*F149^2-2*$P$5*F149+$P$6)</f>
        <v>0.15138416437451913</v>
      </c>
    </row>
    <row r="150" spans="1:7" x14ac:dyDescent="0.3">
      <c r="A150" s="17">
        <v>0.80208236188368254</v>
      </c>
      <c r="B150" s="17">
        <v>0.6583823840619526</v>
      </c>
      <c r="C150" s="17">
        <v>-0.46046474594563513</v>
      </c>
      <c r="D150" s="20">
        <f>SUM(A150:C150)</f>
        <v>0.99999999999999989</v>
      </c>
      <c r="E150" s="17">
        <f t="array" ref="E150">SQRT(MMULT(A150:C150,MMULT($C$4:$E$6,TRANSPOSE(A150:C150))))</f>
        <v>0.16827615226393028</v>
      </c>
      <c r="F150" s="34">
        <f t="array" ref="F150">MMULT(A150:C150,$B$4:$B$6)</f>
        <v>0.12708570815379225</v>
      </c>
      <c r="G150" s="35">
        <f>SQRT($P$4*F150^2-2*$P$5*F150+$P$6)</f>
        <v>0.15589454403124484</v>
      </c>
    </row>
    <row r="151" spans="1:7" x14ac:dyDescent="0.3">
      <c r="A151" s="17">
        <v>0.91876896834070287</v>
      </c>
      <c r="B151" s="17">
        <v>0.48239125408173678</v>
      </c>
      <c r="C151" s="17">
        <v>-0.40116022242243965</v>
      </c>
      <c r="D151" s="20">
        <f>SUM(A151:C151)</f>
        <v>0.99999999999999989</v>
      </c>
      <c r="E151" s="17">
        <f t="array" ref="E151">SQRT(MMULT(A151:C151,MMULT($C$4:$E$6,TRANSPOSE(A151:C151))))</f>
        <v>0.20066279608660526</v>
      </c>
      <c r="F151" s="34">
        <f t="array" ref="F151">MMULT(A151:C151,$B$4:$B$6)</f>
        <v>0.12762108017134308</v>
      </c>
      <c r="G151" s="35">
        <f>SQRT($P$4*F151^2-2*$P$5*F151+$P$6)</f>
        <v>0.15694186607197494</v>
      </c>
    </row>
    <row r="152" spans="1:7" x14ac:dyDescent="0.3">
      <c r="A152" s="17">
        <v>0.85905321210405339</v>
      </c>
      <c r="B152" s="17">
        <v>0.57855755700462796</v>
      </c>
      <c r="C152" s="17">
        <v>-0.43761076910868135</v>
      </c>
      <c r="D152" s="20">
        <f>SUM(A152:C152)</f>
        <v>1</v>
      </c>
      <c r="E152" s="17">
        <f t="array" ref="E152">SQRT(MMULT(A152:C152,MMULT($C$4:$E$6,TRANSPOSE(A152:C152))))</f>
        <v>0.18197648754090534</v>
      </c>
      <c r="F152" s="34">
        <f t="array" ref="F152">MMULT(A152:C152,$B$4:$B$6)</f>
        <v>0.12765213481855567</v>
      </c>
      <c r="G152" s="35">
        <f>SQRT($P$4*F152^2-2*$P$5*F152+$P$6)</f>
        <v>0.1570026832100169</v>
      </c>
    </row>
    <row r="153" spans="1:7" x14ac:dyDescent="0.3">
      <c r="A153" s="17">
        <v>0.96961595487268593</v>
      </c>
      <c r="B153" s="17">
        <v>0.43229549032829817</v>
      </c>
      <c r="C153" s="17">
        <v>-0.4019114452009841</v>
      </c>
      <c r="D153" s="20">
        <f>SUM(A153:C153)</f>
        <v>1</v>
      </c>
      <c r="E153" s="17">
        <f t="array" ref="E153">SQRT(MMULT(A153:C153,MMULT($C$4:$E$6,TRANSPOSE(A153:C153))))</f>
        <v>0.2163023572648298</v>
      </c>
      <c r="F153" s="34">
        <f t="array" ref="F153">MMULT(A153:C153,$B$4:$B$6)</f>
        <v>0.12918405090622978</v>
      </c>
      <c r="G153" s="35">
        <f>SQRT($P$4*F153^2-2*$P$5*F153+$P$6)</f>
        <v>0.16001158671653187</v>
      </c>
    </row>
    <row r="154" spans="1:7" x14ac:dyDescent="0.3">
      <c r="A154" s="17">
        <v>0.68289578223745617</v>
      </c>
      <c r="B154" s="17">
        <v>0.93047711587786841</v>
      </c>
      <c r="C154" s="17">
        <v>-0.61337289811532458</v>
      </c>
      <c r="D154" s="20">
        <f>SUM(A154:C154)</f>
        <v>1</v>
      </c>
      <c r="E154" s="17">
        <f t="array" ref="E154">SQRT(MMULT(A154:C154,MMULT($C$4:$E$6,TRANSPOSE(A154:C154))))</f>
        <v>0.16534978837966288</v>
      </c>
      <c r="F154" s="34">
        <f t="array" ref="F154">MMULT(A154:C154,$B$4:$B$6)</f>
        <v>0.13115551837288991</v>
      </c>
      <c r="G154" s="35">
        <f>SQRT($P$4*F154^2-2*$P$5*F154+$P$6)</f>
        <v>0.16390817599100407</v>
      </c>
    </row>
    <row r="155" spans="1:7" x14ac:dyDescent="0.3">
      <c r="A155" s="17">
        <v>0.8680351983791843</v>
      </c>
      <c r="B155" s="17">
        <v>0.73573099056511115</v>
      </c>
      <c r="C155" s="17">
        <v>-0.60376618894429546</v>
      </c>
      <c r="D155" s="20">
        <f>SUM(A155:C155)</f>
        <v>1</v>
      </c>
      <c r="E155" s="17">
        <f t="array" ref="E155">SQRT(MMULT(A155:C155,MMULT($C$4:$E$6,TRANSPOSE(A155:C155))))</f>
        <v>0.18278576909350219</v>
      </c>
      <c r="F155" s="34">
        <f t="array" ref="F155">MMULT(A155:C155,$B$4:$B$6)</f>
        <v>0.13622936539859029</v>
      </c>
      <c r="G155" s="35">
        <f>SQRT($P$4*F155^2-2*$P$5*F155+$P$6)</f>
        <v>0.17405027564745706</v>
      </c>
    </row>
    <row r="156" spans="1:7" x14ac:dyDescent="0.3">
      <c r="A156" s="17">
        <v>0.75087951527944596</v>
      </c>
      <c r="B156" s="17">
        <v>0.93891588386979041</v>
      </c>
      <c r="C156" s="17">
        <v>-0.68979539914923638</v>
      </c>
      <c r="D156" s="20">
        <f>SUM(A156:C156)</f>
        <v>1</v>
      </c>
      <c r="E156" s="17">
        <f t="array" ref="E156">SQRT(MMULT(A156:C156,MMULT($C$4:$E$6,TRANSPOSE(A156:C156))))</f>
        <v>0.17607712569742492</v>
      </c>
      <c r="F156" s="34">
        <f t="array" ref="F156">MMULT(A156:C156,$B$4:$B$6)</f>
        <v>0.13701615541584522</v>
      </c>
      <c r="G156" s="35">
        <f>SQRT($P$4*F156^2-2*$P$5*F156+$P$6)</f>
        <v>0.17563634654727034</v>
      </c>
    </row>
    <row r="157" spans="1:7" x14ac:dyDescent="0.3">
      <c r="A157" s="17">
        <v>0.95156683114383012</v>
      </c>
      <c r="B157" s="17">
        <v>0.64070879084984644</v>
      </c>
      <c r="C157" s="17">
        <v>-0.59227562199367656</v>
      </c>
      <c r="D157" s="20">
        <f>SUM(A157:C157)</f>
        <v>0.99999999999999989</v>
      </c>
      <c r="E157" s="17">
        <f t="array" ref="E157">SQRT(MMULT(A157:C157,MMULT($C$4:$E$6,TRANSPOSE(A157:C157))))</f>
        <v>0.20058587206544626</v>
      </c>
      <c r="F157" s="34">
        <f t="array" ref="F157">MMULT(A157:C157,$B$4:$B$6)</f>
        <v>0.13816078603399873</v>
      </c>
      <c r="G157" s="35">
        <f>SQRT($P$4*F157^2-2*$P$5*F157+$P$6)</f>
        <v>0.1779496774108259</v>
      </c>
    </row>
    <row r="158" spans="1:7" x14ac:dyDescent="0.3">
      <c r="A158" s="17">
        <v>0.85374216261320224</v>
      </c>
      <c r="B158" s="17">
        <v>0.80718337658969408</v>
      </c>
      <c r="C158" s="17">
        <v>-0.66092553920289632</v>
      </c>
      <c r="D158" s="20">
        <f>SUM(A158:C158)</f>
        <v>1</v>
      </c>
      <c r="E158" s="17">
        <f t="array" ref="E158">SQRT(MMULT(A158:C158,MMULT($C$4:$E$6,TRANSPOSE(A158:C158))))</f>
        <v>0.18260511821089165</v>
      </c>
      <c r="F158" s="34">
        <f t="array" ref="F158">MMULT(A158:C158,$B$4:$B$6)</f>
        <v>0.13865854183854087</v>
      </c>
      <c r="G158" s="35">
        <f>SQRT($P$4*F158^2-2*$P$5*F158+$P$6)</f>
        <v>0.17895777706783017</v>
      </c>
    </row>
    <row r="159" spans="1:7" x14ac:dyDescent="0.3">
      <c r="A159" s="17">
        <v>0.98672590202398269</v>
      </c>
      <c r="B159" s="17">
        <v>0.59996353415370163</v>
      </c>
      <c r="C159" s="17">
        <v>-0.58668943617768432</v>
      </c>
      <c r="D159" s="20">
        <f>SUM(A159:C159)</f>
        <v>1</v>
      </c>
      <c r="E159" s="17">
        <f t="array" ref="E159">SQRT(MMULT(A159:C159,MMULT($C$4:$E$6,TRANSPOSE(A159:C159))))</f>
        <v>0.20961112298611953</v>
      </c>
      <c r="F159" s="34">
        <f t="array" ref="F159">MMULT(A159:C159,$B$4:$B$6)</f>
        <v>0.13893624886960371</v>
      </c>
      <c r="G159" s="35">
        <f>SQRT($P$4*F159^2-2*$P$5*F159+$P$6)</f>
        <v>0.1795207608824185</v>
      </c>
    </row>
    <row r="160" spans="1:7" x14ac:dyDescent="0.3">
      <c r="A160" s="17">
        <v>0.97927608677822908</v>
      </c>
      <c r="B160" s="17">
        <v>0.61434690746506238</v>
      </c>
      <c r="C160" s="17">
        <v>-0.59362299424329146</v>
      </c>
      <c r="D160" s="20">
        <f>SUM(A160:C160)</f>
        <v>1</v>
      </c>
      <c r="E160" s="17">
        <f t="array" ref="E160">SQRT(MMULT(A160:C160,MMULT($C$4:$E$6,TRANSPOSE(A160:C160))))</f>
        <v>0.20744402611644774</v>
      </c>
      <c r="F160" s="34">
        <f t="array" ref="F160">MMULT(A160:C160,$B$4:$B$6)</f>
        <v>0.13905943231551143</v>
      </c>
      <c r="G160" s="35">
        <f>SQRT($P$4*F160^2-2*$P$5*F160+$P$6)</f>
        <v>0.17977060959954008</v>
      </c>
    </row>
    <row r="161" spans="1:7" x14ac:dyDescent="0.3">
      <c r="A161" s="17">
        <v>0.82865740471545724</v>
      </c>
      <c r="B161" s="17">
        <v>0.95594490051421466</v>
      </c>
      <c r="C161" s="17">
        <v>-0.78460230522967189</v>
      </c>
      <c r="D161" s="20">
        <f>SUM(A161:C161)</f>
        <v>0.99999999999999989</v>
      </c>
      <c r="E161" s="17">
        <f t="array" ref="E161">SQRT(MMULT(A161:C161,MMULT($C$4:$E$6,TRANSPOSE(A161:C161))))</f>
        <v>0.19006789449412118</v>
      </c>
      <c r="F161" s="34">
        <f t="array" ref="F161">MMULT(A161:C161,$B$4:$B$6)</f>
        <v>0.14408983740294731</v>
      </c>
      <c r="G161" s="35">
        <f>SQRT($P$4*F161^2-2*$P$5*F161+$P$6)</f>
        <v>0.19003495953749439</v>
      </c>
    </row>
  </sheetData>
  <sortState xmlns:xlrd2="http://schemas.microsoft.com/office/spreadsheetml/2017/richdata2" ref="A37:G161">
    <sortCondition ref="F37:F161"/>
    <sortCondition ref="G37:G161"/>
  </sortState>
  <mergeCells count="1"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alumno</dc:creator>
  <cp:keywords/>
  <dc:description/>
  <cp:lastModifiedBy>J. Carlos Gomez Sala</cp:lastModifiedBy>
  <cp:revision/>
  <dcterms:created xsi:type="dcterms:W3CDTF">2021-11-02T12:04:52Z</dcterms:created>
  <dcterms:modified xsi:type="dcterms:W3CDTF">2021-11-09T09:30:54Z</dcterms:modified>
  <cp:category/>
  <cp:contentStatus/>
</cp:coreProperties>
</file>