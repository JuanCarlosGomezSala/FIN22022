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7F00F7E-9A36-4521-B36F-D4852E0E0E10}" xr6:coauthVersionLast="36" xr6:coauthVersionMax="47" xr10:uidLastSave="{00000000-0000-0000-0000-000000000000}"/>
  <bookViews>
    <workbookView xWindow="0" yWindow="0" windowWidth="15360" windowHeight="7545" firstSheet="1" activeTab="4" xr2:uid="{CA20A628-6FA1-40C9-9B8D-F01FDC76E65C}"/>
  </bookViews>
  <sheets>
    <sheet name="Problema_2" sheetId="1" r:id="rId1"/>
    <sheet name="Problema_3" sheetId="2" r:id="rId2"/>
    <sheet name="Problema_4" sheetId="3" r:id="rId3"/>
    <sheet name="Problema_5" sheetId="4" r:id="rId4"/>
    <sheet name="Problema_6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1" i="5" l="1"/>
  <c r="C50" i="5"/>
  <c r="C49" i="5"/>
  <c r="B49" i="5"/>
  <c r="B50" i="5" s="1"/>
  <c r="E18" i="5"/>
  <c r="E20" i="5"/>
  <c r="E23" i="5"/>
  <c r="E24" i="5"/>
  <c r="E22" i="5"/>
  <c r="E37" i="5"/>
  <c r="E37" i="5" a="1"/>
  <c r="E39" i="5" s="1"/>
  <c r="E35" i="5"/>
  <c r="E34" i="5"/>
  <c r="E25" i="5"/>
  <c r="C24" i="5"/>
  <c r="D23" i="5"/>
  <c r="C23" i="5"/>
  <c r="E30" i="5" a="1"/>
  <c r="E30" i="5" s="1"/>
  <c r="E31" i="5" s="1"/>
  <c r="D22" i="5"/>
  <c r="D28" i="5" s="1" a="1"/>
  <c r="D28" i="5" s="1"/>
  <c r="D29" i="5" s="1"/>
  <c r="F20" i="5"/>
  <c r="F24" i="5" s="1"/>
  <c r="D20" i="5"/>
  <c r="D24" i="5" s="1"/>
  <c r="C20" i="5"/>
  <c r="C22" i="5" s="1"/>
  <c r="B20" i="5"/>
  <c r="B24" i="5" s="1"/>
  <c r="K14" i="5"/>
  <c r="C12" i="5"/>
  <c r="D12" i="5"/>
  <c r="E12" i="5"/>
  <c r="C13" i="5"/>
  <c r="D13" i="5"/>
  <c r="E13" i="5"/>
  <c r="D11" i="5"/>
  <c r="E11" i="5"/>
  <c r="F11" i="5" s="1" a="1"/>
  <c r="C11" i="5"/>
  <c r="B12" i="5"/>
  <c r="B13" i="5"/>
  <c r="J13" i="5" s="1"/>
  <c r="B11" i="5"/>
  <c r="J12" i="5"/>
  <c r="J11" i="5"/>
  <c r="F22" i="4"/>
  <c r="F20" i="4"/>
  <c r="F24" i="4" s="1"/>
  <c r="N12" i="4"/>
  <c r="N13" i="4"/>
  <c r="N11" i="4"/>
  <c r="M12" i="4"/>
  <c r="M11" i="4" a="1"/>
  <c r="M11" i="4"/>
  <c r="I13" i="3"/>
  <c r="I12" i="3"/>
  <c r="I11" i="3"/>
  <c r="B244" i="4"/>
  <c r="C244" i="4"/>
  <c r="D244" i="4"/>
  <c r="B245" i="4"/>
  <c r="C245" i="4"/>
  <c r="D245" i="4"/>
  <c r="B246" i="4"/>
  <c r="C246" i="4"/>
  <c r="D246" i="4"/>
  <c r="B247" i="4"/>
  <c r="C247" i="4"/>
  <c r="D247" i="4"/>
  <c r="B248" i="4"/>
  <c r="C248" i="4"/>
  <c r="D248" i="4"/>
  <c r="B249" i="4"/>
  <c r="C249" i="4"/>
  <c r="D249" i="4"/>
  <c r="B250" i="4"/>
  <c r="C250" i="4"/>
  <c r="D250" i="4"/>
  <c r="B251" i="4"/>
  <c r="C251" i="4"/>
  <c r="D251" i="4"/>
  <c r="B252" i="4"/>
  <c r="C252" i="4"/>
  <c r="D252" i="4"/>
  <c r="B253" i="4"/>
  <c r="C253" i="4"/>
  <c r="D253" i="4"/>
  <c r="B254" i="4"/>
  <c r="C254" i="4"/>
  <c r="D254" i="4"/>
  <c r="B212" i="4"/>
  <c r="C212" i="4"/>
  <c r="D212" i="4"/>
  <c r="B213" i="4"/>
  <c r="C213" i="4"/>
  <c r="D213" i="4"/>
  <c r="B214" i="4"/>
  <c r="C214" i="4"/>
  <c r="D214" i="4"/>
  <c r="B215" i="4"/>
  <c r="C215" i="4"/>
  <c r="D215" i="4"/>
  <c r="B216" i="4"/>
  <c r="C216" i="4"/>
  <c r="D216" i="4"/>
  <c r="B217" i="4"/>
  <c r="C217" i="4"/>
  <c r="D217" i="4"/>
  <c r="B218" i="4"/>
  <c r="C218" i="4"/>
  <c r="D218" i="4"/>
  <c r="B219" i="4"/>
  <c r="C219" i="4"/>
  <c r="D219" i="4"/>
  <c r="B220" i="4"/>
  <c r="C220" i="4"/>
  <c r="D220" i="4"/>
  <c r="B221" i="4"/>
  <c r="C221" i="4"/>
  <c r="D221" i="4"/>
  <c r="B222" i="4"/>
  <c r="C222" i="4"/>
  <c r="D222" i="4"/>
  <c r="B223" i="4"/>
  <c r="C223" i="4"/>
  <c r="D223" i="4"/>
  <c r="B224" i="4"/>
  <c r="C224" i="4"/>
  <c r="D224" i="4"/>
  <c r="B225" i="4"/>
  <c r="C225" i="4"/>
  <c r="D225" i="4"/>
  <c r="B226" i="4"/>
  <c r="C226" i="4"/>
  <c r="D226" i="4"/>
  <c r="B227" i="4"/>
  <c r="C227" i="4"/>
  <c r="D227" i="4"/>
  <c r="B228" i="4"/>
  <c r="C228" i="4"/>
  <c r="D228" i="4"/>
  <c r="B229" i="4"/>
  <c r="C229" i="4"/>
  <c r="D229" i="4"/>
  <c r="B230" i="4"/>
  <c r="C230" i="4"/>
  <c r="D230" i="4"/>
  <c r="B231" i="4"/>
  <c r="C231" i="4"/>
  <c r="D231" i="4"/>
  <c r="B232" i="4"/>
  <c r="C232" i="4"/>
  <c r="D232" i="4"/>
  <c r="B233" i="4"/>
  <c r="C233" i="4"/>
  <c r="D233" i="4"/>
  <c r="B234" i="4"/>
  <c r="C234" i="4"/>
  <c r="D234" i="4"/>
  <c r="B235" i="4"/>
  <c r="C235" i="4"/>
  <c r="D235" i="4"/>
  <c r="B236" i="4"/>
  <c r="C236" i="4"/>
  <c r="D236" i="4"/>
  <c r="B237" i="4"/>
  <c r="C237" i="4"/>
  <c r="D237" i="4"/>
  <c r="B238" i="4"/>
  <c r="C238" i="4"/>
  <c r="D238" i="4"/>
  <c r="B239" i="4"/>
  <c r="C239" i="4"/>
  <c r="D239" i="4"/>
  <c r="B240" i="4"/>
  <c r="C240" i="4"/>
  <c r="D240" i="4"/>
  <c r="B241" i="4"/>
  <c r="C241" i="4"/>
  <c r="D241" i="4"/>
  <c r="B242" i="4"/>
  <c r="C242" i="4"/>
  <c r="D242" i="4"/>
  <c r="B243" i="4"/>
  <c r="C243" i="4"/>
  <c r="D243" i="4"/>
  <c r="B49" i="4"/>
  <c r="C49" i="4"/>
  <c r="D49" i="4"/>
  <c r="B50" i="4"/>
  <c r="C50" i="4"/>
  <c r="D50" i="4"/>
  <c r="B51" i="4"/>
  <c r="C51" i="4"/>
  <c r="D51" i="4"/>
  <c r="B52" i="4"/>
  <c r="C52" i="4"/>
  <c r="D52" i="4"/>
  <c r="B53" i="4"/>
  <c r="C53" i="4"/>
  <c r="D53" i="4"/>
  <c r="B54" i="4"/>
  <c r="C54" i="4"/>
  <c r="D54" i="4"/>
  <c r="B55" i="4"/>
  <c r="C55" i="4"/>
  <c r="D55" i="4"/>
  <c r="B56" i="4"/>
  <c r="C56" i="4"/>
  <c r="D56" i="4"/>
  <c r="B57" i="4"/>
  <c r="C57" i="4"/>
  <c r="D57" i="4"/>
  <c r="B58" i="4"/>
  <c r="C58" i="4"/>
  <c r="D58" i="4"/>
  <c r="B59" i="4"/>
  <c r="C59" i="4"/>
  <c r="D59" i="4"/>
  <c r="B60" i="4"/>
  <c r="C60" i="4"/>
  <c r="D60" i="4"/>
  <c r="B61" i="4"/>
  <c r="C61" i="4"/>
  <c r="D61" i="4"/>
  <c r="B62" i="4"/>
  <c r="C62" i="4"/>
  <c r="D62" i="4"/>
  <c r="B63" i="4"/>
  <c r="C63" i="4"/>
  <c r="D63" i="4"/>
  <c r="B64" i="4"/>
  <c r="C64" i="4"/>
  <c r="D64" i="4"/>
  <c r="B65" i="4"/>
  <c r="C65" i="4"/>
  <c r="D65" i="4"/>
  <c r="B66" i="4"/>
  <c r="C66" i="4"/>
  <c r="D66" i="4"/>
  <c r="B67" i="4"/>
  <c r="C67" i="4"/>
  <c r="D67" i="4"/>
  <c r="B68" i="4"/>
  <c r="C68" i="4"/>
  <c r="D68" i="4"/>
  <c r="B69" i="4"/>
  <c r="C69" i="4"/>
  <c r="D69" i="4"/>
  <c r="B70" i="4"/>
  <c r="C70" i="4"/>
  <c r="D70" i="4"/>
  <c r="B71" i="4"/>
  <c r="C71" i="4"/>
  <c r="D71" i="4"/>
  <c r="B72" i="4"/>
  <c r="C72" i="4"/>
  <c r="D72" i="4"/>
  <c r="B73" i="4"/>
  <c r="C73" i="4"/>
  <c r="D73" i="4"/>
  <c r="B74" i="4"/>
  <c r="C74" i="4"/>
  <c r="D74" i="4"/>
  <c r="B75" i="4"/>
  <c r="C75" i="4"/>
  <c r="D75" i="4"/>
  <c r="B76" i="4"/>
  <c r="C76" i="4"/>
  <c r="D76" i="4"/>
  <c r="B77" i="4"/>
  <c r="C77" i="4"/>
  <c r="D77" i="4"/>
  <c r="B78" i="4"/>
  <c r="C78" i="4"/>
  <c r="D78" i="4"/>
  <c r="B79" i="4"/>
  <c r="C79" i="4"/>
  <c r="D79" i="4"/>
  <c r="B80" i="4"/>
  <c r="C80" i="4"/>
  <c r="D80" i="4"/>
  <c r="B81" i="4"/>
  <c r="C81" i="4"/>
  <c r="D81" i="4"/>
  <c r="B82" i="4"/>
  <c r="C82" i="4"/>
  <c r="D82" i="4"/>
  <c r="B83" i="4"/>
  <c r="C83" i="4"/>
  <c r="D83" i="4"/>
  <c r="B84" i="4"/>
  <c r="C84" i="4"/>
  <c r="D84" i="4"/>
  <c r="B85" i="4"/>
  <c r="C85" i="4"/>
  <c r="D85" i="4"/>
  <c r="B86" i="4"/>
  <c r="C86" i="4"/>
  <c r="D86" i="4"/>
  <c r="B87" i="4"/>
  <c r="C87" i="4"/>
  <c r="D87" i="4"/>
  <c r="B88" i="4"/>
  <c r="C88" i="4"/>
  <c r="D88" i="4"/>
  <c r="B89" i="4"/>
  <c r="C89" i="4"/>
  <c r="D89" i="4"/>
  <c r="B90" i="4"/>
  <c r="C90" i="4"/>
  <c r="D90" i="4"/>
  <c r="B91" i="4"/>
  <c r="C91" i="4"/>
  <c r="D91" i="4"/>
  <c r="B92" i="4"/>
  <c r="C92" i="4"/>
  <c r="D92" i="4"/>
  <c r="B93" i="4"/>
  <c r="C93" i="4"/>
  <c r="D93" i="4"/>
  <c r="B94" i="4"/>
  <c r="C94" i="4"/>
  <c r="D94" i="4"/>
  <c r="B95" i="4"/>
  <c r="C95" i="4"/>
  <c r="D95" i="4"/>
  <c r="B96" i="4"/>
  <c r="C96" i="4"/>
  <c r="D96" i="4"/>
  <c r="B97" i="4"/>
  <c r="C97" i="4"/>
  <c r="D97" i="4"/>
  <c r="B98" i="4"/>
  <c r="C98" i="4"/>
  <c r="D98" i="4"/>
  <c r="B99" i="4"/>
  <c r="C99" i="4"/>
  <c r="D99" i="4"/>
  <c r="B100" i="4"/>
  <c r="C100" i="4"/>
  <c r="D100" i="4"/>
  <c r="B101" i="4"/>
  <c r="C101" i="4"/>
  <c r="D101" i="4"/>
  <c r="B102" i="4"/>
  <c r="C102" i="4"/>
  <c r="D102" i="4"/>
  <c r="B103" i="4"/>
  <c r="C103" i="4"/>
  <c r="D103" i="4"/>
  <c r="B104" i="4"/>
  <c r="C104" i="4"/>
  <c r="D104" i="4"/>
  <c r="B105" i="4"/>
  <c r="C105" i="4"/>
  <c r="D105" i="4"/>
  <c r="B106" i="4"/>
  <c r="C106" i="4"/>
  <c r="D106" i="4"/>
  <c r="B107" i="4"/>
  <c r="C107" i="4"/>
  <c r="D107" i="4"/>
  <c r="B108" i="4"/>
  <c r="C108" i="4"/>
  <c r="D108" i="4"/>
  <c r="B109" i="4"/>
  <c r="C109" i="4"/>
  <c r="D109" i="4"/>
  <c r="B110" i="4"/>
  <c r="C110" i="4"/>
  <c r="D110" i="4"/>
  <c r="B111" i="4"/>
  <c r="C111" i="4"/>
  <c r="D111" i="4"/>
  <c r="B112" i="4"/>
  <c r="C112" i="4"/>
  <c r="D112" i="4"/>
  <c r="B113" i="4"/>
  <c r="C113" i="4"/>
  <c r="D113" i="4"/>
  <c r="B114" i="4"/>
  <c r="C114" i="4"/>
  <c r="D114" i="4"/>
  <c r="B115" i="4"/>
  <c r="C115" i="4"/>
  <c r="D115" i="4"/>
  <c r="B116" i="4"/>
  <c r="C116" i="4"/>
  <c r="D116" i="4"/>
  <c r="B117" i="4"/>
  <c r="C117" i="4"/>
  <c r="D117" i="4"/>
  <c r="B118" i="4"/>
  <c r="C118" i="4"/>
  <c r="D118" i="4"/>
  <c r="B119" i="4"/>
  <c r="C119" i="4"/>
  <c r="D119" i="4"/>
  <c r="B120" i="4"/>
  <c r="C120" i="4"/>
  <c r="D120" i="4"/>
  <c r="B121" i="4"/>
  <c r="C121" i="4"/>
  <c r="D121" i="4"/>
  <c r="B122" i="4"/>
  <c r="C122" i="4"/>
  <c r="D122" i="4"/>
  <c r="B123" i="4"/>
  <c r="C123" i="4"/>
  <c r="D123" i="4"/>
  <c r="B124" i="4"/>
  <c r="C124" i="4"/>
  <c r="D124" i="4"/>
  <c r="B125" i="4"/>
  <c r="C125" i="4"/>
  <c r="D125" i="4"/>
  <c r="B126" i="4"/>
  <c r="C126" i="4"/>
  <c r="D126" i="4"/>
  <c r="B127" i="4"/>
  <c r="C127" i="4"/>
  <c r="D127" i="4"/>
  <c r="B128" i="4"/>
  <c r="C128" i="4"/>
  <c r="D128" i="4"/>
  <c r="B129" i="4"/>
  <c r="C129" i="4"/>
  <c r="D129" i="4"/>
  <c r="B130" i="4"/>
  <c r="C130" i="4"/>
  <c r="D130" i="4"/>
  <c r="B131" i="4"/>
  <c r="C131" i="4"/>
  <c r="D131" i="4"/>
  <c r="B132" i="4"/>
  <c r="C132" i="4"/>
  <c r="D132" i="4"/>
  <c r="B133" i="4"/>
  <c r="C133" i="4"/>
  <c r="D133" i="4"/>
  <c r="B134" i="4"/>
  <c r="C134" i="4"/>
  <c r="D134" i="4"/>
  <c r="B135" i="4"/>
  <c r="C135" i="4"/>
  <c r="D135" i="4"/>
  <c r="B136" i="4"/>
  <c r="C136" i="4"/>
  <c r="D136" i="4"/>
  <c r="B137" i="4"/>
  <c r="C137" i="4"/>
  <c r="D137" i="4"/>
  <c r="B138" i="4"/>
  <c r="C138" i="4"/>
  <c r="D138" i="4"/>
  <c r="B139" i="4"/>
  <c r="C139" i="4"/>
  <c r="D139" i="4"/>
  <c r="B140" i="4"/>
  <c r="C140" i="4"/>
  <c r="D140" i="4"/>
  <c r="B141" i="4"/>
  <c r="C141" i="4"/>
  <c r="D141" i="4"/>
  <c r="B142" i="4"/>
  <c r="C142" i="4"/>
  <c r="D142" i="4"/>
  <c r="B143" i="4"/>
  <c r="C143" i="4"/>
  <c r="D143" i="4"/>
  <c r="B144" i="4"/>
  <c r="C144" i="4"/>
  <c r="D144" i="4"/>
  <c r="B145" i="4"/>
  <c r="C145" i="4"/>
  <c r="D145" i="4"/>
  <c r="B146" i="4"/>
  <c r="C146" i="4"/>
  <c r="D146" i="4"/>
  <c r="B147" i="4"/>
  <c r="C147" i="4"/>
  <c r="D147" i="4"/>
  <c r="B148" i="4"/>
  <c r="C148" i="4"/>
  <c r="D148" i="4"/>
  <c r="B149" i="4"/>
  <c r="C149" i="4"/>
  <c r="D149" i="4"/>
  <c r="B150" i="4"/>
  <c r="C150" i="4"/>
  <c r="D150" i="4"/>
  <c r="B151" i="4"/>
  <c r="C151" i="4"/>
  <c r="D151" i="4"/>
  <c r="B152" i="4"/>
  <c r="C152" i="4"/>
  <c r="D152" i="4"/>
  <c r="B153" i="4"/>
  <c r="C153" i="4"/>
  <c r="D153" i="4"/>
  <c r="B154" i="4"/>
  <c r="C154" i="4"/>
  <c r="D154" i="4"/>
  <c r="B155" i="4"/>
  <c r="C155" i="4"/>
  <c r="D155" i="4"/>
  <c r="B156" i="4"/>
  <c r="C156" i="4"/>
  <c r="D156" i="4"/>
  <c r="B157" i="4"/>
  <c r="C157" i="4"/>
  <c r="D157" i="4"/>
  <c r="B158" i="4"/>
  <c r="C158" i="4"/>
  <c r="D158" i="4"/>
  <c r="B159" i="4"/>
  <c r="C159" i="4"/>
  <c r="D159" i="4"/>
  <c r="B160" i="4"/>
  <c r="C160" i="4"/>
  <c r="D160" i="4"/>
  <c r="B161" i="4"/>
  <c r="C161" i="4"/>
  <c r="D161" i="4"/>
  <c r="B162" i="4"/>
  <c r="C162" i="4"/>
  <c r="D162" i="4"/>
  <c r="B163" i="4"/>
  <c r="C163" i="4"/>
  <c r="D163" i="4"/>
  <c r="B164" i="4"/>
  <c r="C164" i="4"/>
  <c r="D164" i="4"/>
  <c r="B165" i="4"/>
  <c r="C165" i="4"/>
  <c r="D165" i="4"/>
  <c r="B166" i="4"/>
  <c r="C166" i="4"/>
  <c r="D166" i="4"/>
  <c r="B167" i="4"/>
  <c r="C167" i="4"/>
  <c r="D167" i="4"/>
  <c r="B168" i="4"/>
  <c r="C168" i="4"/>
  <c r="D168" i="4"/>
  <c r="B169" i="4"/>
  <c r="C169" i="4"/>
  <c r="D169" i="4"/>
  <c r="B170" i="4"/>
  <c r="C170" i="4"/>
  <c r="D170" i="4"/>
  <c r="B171" i="4"/>
  <c r="C171" i="4"/>
  <c r="D171" i="4"/>
  <c r="B172" i="4"/>
  <c r="C172" i="4"/>
  <c r="D172" i="4"/>
  <c r="B173" i="4"/>
  <c r="C173" i="4"/>
  <c r="D173" i="4"/>
  <c r="B174" i="4"/>
  <c r="C174" i="4"/>
  <c r="D174" i="4"/>
  <c r="B175" i="4"/>
  <c r="C175" i="4"/>
  <c r="D175" i="4"/>
  <c r="B176" i="4"/>
  <c r="C176" i="4"/>
  <c r="D176" i="4"/>
  <c r="B177" i="4"/>
  <c r="C177" i="4"/>
  <c r="D177" i="4"/>
  <c r="B178" i="4"/>
  <c r="C178" i="4"/>
  <c r="D178" i="4"/>
  <c r="B179" i="4"/>
  <c r="C179" i="4"/>
  <c r="D179" i="4"/>
  <c r="B180" i="4"/>
  <c r="C180" i="4"/>
  <c r="D180" i="4"/>
  <c r="B181" i="4"/>
  <c r="C181" i="4"/>
  <c r="D181" i="4"/>
  <c r="B182" i="4"/>
  <c r="C182" i="4"/>
  <c r="D182" i="4"/>
  <c r="B183" i="4"/>
  <c r="C183" i="4"/>
  <c r="D183" i="4"/>
  <c r="B184" i="4"/>
  <c r="C184" i="4"/>
  <c r="D184" i="4"/>
  <c r="B185" i="4"/>
  <c r="C185" i="4"/>
  <c r="D185" i="4"/>
  <c r="B186" i="4"/>
  <c r="C186" i="4"/>
  <c r="D186" i="4"/>
  <c r="B187" i="4"/>
  <c r="C187" i="4"/>
  <c r="D187" i="4"/>
  <c r="B188" i="4"/>
  <c r="C188" i="4"/>
  <c r="D188" i="4"/>
  <c r="B189" i="4"/>
  <c r="C189" i="4"/>
  <c r="D189" i="4"/>
  <c r="B190" i="4"/>
  <c r="C190" i="4"/>
  <c r="D190" i="4"/>
  <c r="B191" i="4"/>
  <c r="C191" i="4"/>
  <c r="D191" i="4"/>
  <c r="B192" i="4"/>
  <c r="C192" i="4"/>
  <c r="D192" i="4"/>
  <c r="B193" i="4"/>
  <c r="C193" i="4"/>
  <c r="D193" i="4"/>
  <c r="B194" i="4"/>
  <c r="C194" i="4"/>
  <c r="D194" i="4"/>
  <c r="B195" i="4"/>
  <c r="C195" i="4"/>
  <c r="D195" i="4"/>
  <c r="B196" i="4"/>
  <c r="C196" i="4"/>
  <c r="D196" i="4"/>
  <c r="B197" i="4"/>
  <c r="C197" i="4"/>
  <c r="D197" i="4"/>
  <c r="B198" i="4"/>
  <c r="C198" i="4"/>
  <c r="D198" i="4"/>
  <c r="B199" i="4"/>
  <c r="C199" i="4"/>
  <c r="D199" i="4"/>
  <c r="B200" i="4"/>
  <c r="C200" i="4"/>
  <c r="D200" i="4"/>
  <c r="B201" i="4"/>
  <c r="C201" i="4"/>
  <c r="D201" i="4"/>
  <c r="B202" i="4"/>
  <c r="C202" i="4"/>
  <c r="D202" i="4"/>
  <c r="B203" i="4"/>
  <c r="C203" i="4"/>
  <c r="D203" i="4"/>
  <c r="B204" i="4"/>
  <c r="C204" i="4"/>
  <c r="D204" i="4"/>
  <c r="B205" i="4"/>
  <c r="C205" i="4"/>
  <c r="D205" i="4"/>
  <c r="B206" i="4"/>
  <c r="C206" i="4"/>
  <c r="D206" i="4"/>
  <c r="B207" i="4"/>
  <c r="C207" i="4"/>
  <c r="D207" i="4"/>
  <c r="B208" i="4"/>
  <c r="C208" i="4"/>
  <c r="D208" i="4"/>
  <c r="B209" i="4"/>
  <c r="C209" i="4"/>
  <c r="D209" i="4"/>
  <c r="B210" i="4"/>
  <c r="C210" i="4"/>
  <c r="D210" i="4"/>
  <c r="B211" i="4"/>
  <c r="C211" i="4"/>
  <c r="D211" i="4"/>
  <c r="C48" i="4"/>
  <c r="D48" i="4"/>
  <c r="B48" i="4"/>
  <c r="B52" i="5" l="1"/>
  <c r="B51" i="5"/>
  <c r="C30" i="5" a="1"/>
  <c r="C30" i="5" s="1"/>
  <c r="C31" i="5" s="1"/>
  <c r="C26" i="5"/>
  <c r="C28" i="5" a="1"/>
  <c r="C28" i="5" s="1"/>
  <c r="C29" i="5" s="1"/>
  <c r="C25" i="5"/>
  <c r="E26" i="5"/>
  <c r="E27" i="5" s="1"/>
  <c r="B22" i="5"/>
  <c r="F22" i="5"/>
  <c r="E28" i="5" a="1"/>
  <c r="E28" i="5" s="1"/>
  <c r="E38" i="5"/>
  <c r="E41" i="5" s="1" a="1"/>
  <c r="E41" i="5" s="1"/>
  <c r="E42" i="5" s="1"/>
  <c r="E43" i="5" s="1"/>
  <c r="B23" i="5"/>
  <c r="F23" i="5"/>
  <c r="D25" i="5"/>
  <c r="D27" i="5" s="1"/>
  <c r="D30" i="5" a="1"/>
  <c r="D30" i="5" s="1"/>
  <c r="D31" i="5" s="1"/>
  <c r="D26" i="5"/>
  <c r="G13" i="5"/>
  <c r="H13" i="5"/>
  <c r="F11" i="5"/>
  <c r="G12" i="5"/>
  <c r="G11" i="5"/>
  <c r="H12" i="5"/>
  <c r="H11" i="5"/>
  <c r="F13" i="5"/>
  <c r="F12" i="5"/>
  <c r="F23" i="4"/>
  <c r="F25" i="4" s="1"/>
  <c r="F30" i="4" a="1"/>
  <c r="F30" i="4" s="1"/>
  <c r="F31" i="4" s="1"/>
  <c r="E241" i="4"/>
  <c r="F241" i="4" s="1"/>
  <c r="E237" i="4"/>
  <c r="F237" i="4" s="1"/>
  <c r="E232" i="4"/>
  <c r="F232" i="4" s="1"/>
  <c r="E228" i="4"/>
  <c r="F228" i="4" s="1"/>
  <c r="E224" i="4"/>
  <c r="F224" i="4" s="1"/>
  <c r="E220" i="4"/>
  <c r="F220" i="4" s="1"/>
  <c r="E216" i="4"/>
  <c r="F216" i="4" s="1"/>
  <c r="E212" i="4"/>
  <c r="F212" i="4" s="1"/>
  <c r="E252" i="4"/>
  <c r="F252" i="4" s="1"/>
  <c r="E248" i="4"/>
  <c r="F248" i="4" s="1"/>
  <c r="E244" i="4"/>
  <c r="F244" i="4" s="1"/>
  <c r="E240" i="4"/>
  <c r="F240" i="4" s="1"/>
  <c r="E236" i="4"/>
  <c r="F236" i="4" s="1"/>
  <c r="E242" i="4"/>
  <c r="F242" i="4" s="1"/>
  <c r="E238" i="4"/>
  <c r="F238" i="4" s="1"/>
  <c r="E234" i="4"/>
  <c r="F234" i="4" s="1"/>
  <c r="E243" i="4"/>
  <c r="F243" i="4" s="1"/>
  <c r="E239" i="4"/>
  <c r="F239" i="4" s="1"/>
  <c r="E235" i="4"/>
  <c r="F235" i="4" s="1"/>
  <c r="E233" i="4"/>
  <c r="F233" i="4" s="1"/>
  <c r="E229" i="4"/>
  <c r="F229" i="4" s="1"/>
  <c r="E225" i="4"/>
  <c r="F225" i="4" s="1"/>
  <c r="E221" i="4"/>
  <c r="F221" i="4" s="1"/>
  <c r="E217" i="4"/>
  <c r="F217" i="4" s="1"/>
  <c r="E213" i="4"/>
  <c r="F213" i="4" s="1"/>
  <c r="E230" i="4"/>
  <c r="F230" i="4" s="1"/>
  <c r="E226" i="4"/>
  <c r="F226" i="4" s="1"/>
  <c r="E222" i="4"/>
  <c r="F222" i="4" s="1"/>
  <c r="E218" i="4"/>
  <c r="F218" i="4" s="1"/>
  <c r="E214" i="4"/>
  <c r="F214" i="4" s="1"/>
  <c r="E231" i="4"/>
  <c r="F231" i="4" s="1"/>
  <c r="E227" i="4"/>
  <c r="F227" i="4" s="1"/>
  <c r="E223" i="4"/>
  <c r="F223" i="4" s="1"/>
  <c r="E219" i="4"/>
  <c r="F219" i="4" s="1"/>
  <c r="E215" i="4"/>
  <c r="F215" i="4" s="1"/>
  <c r="E251" i="4"/>
  <c r="F251" i="4" s="1"/>
  <c r="E247" i="4"/>
  <c r="F247" i="4" s="1"/>
  <c r="E254" i="4"/>
  <c r="F254" i="4" s="1"/>
  <c r="E253" i="4"/>
  <c r="F253" i="4" s="1"/>
  <c r="E250" i="4"/>
  <c r="F250" i="4" s="1"/>
  <c r="E249" i="4"/>
  <c r="F249" i="4" s="1"/>
  <c r="E246" i="4"/>
  <c r="F246" i="4" s="1"/>
  <c r="E245" i="4"/>
  <c r="F245" i="4" s="1"/>
  <c r="E53" i="4"/>
  <c r="F53" i="4" s="1"/>
  <c r="E49" i="4"/>
  <c r="F49" i="4" s="1"/>
  <c r="E163" i="4"/>
  <c r="F163" i="4" s="1"/>
  <c r="E159" i="4"/>
  <c r="F159" i="4" s="1"/>
  <c r="E155" i="4"/>
  <c r="F155" i="4" s="1"/>
  <c r="E151" i="4"/>
  <c r="F151" i="4" s="1"/>
  <c r="E147" i="4"/>
  <c r="F147" i="4" s="1"/>
  <c r="E143" i="4"/>
  <c r="F143" i="4" s="1"/>
  <c r="E139" i="4"/>
  <c r="F139" i="4" s="1"/>
  <c r="E135" i="4"/>
  <c r="F135" i="4" s="1"/>
  <c r="E99" i="4"/>
  <c r="F99" i="4" s="1"/>
  <c r="E95" i="4"/>
  <c r="F95" i="4" s="1"/>
  <c r="E91" i="4"/>
  <c r="F91" i="4" s="1"/>
  <c r="E87" i="4"/>
  <c r="F87" i="4" s="1"/>
  <c r="E83" i="4"/>
  <c r="F83" i="4" s="1"/>
  <c r="E79" i="4"/>
  <c r="F79" i="4" s="1"/>
  <c r="E75" i="4"/>
  <c r="F75" i="4" s="1"/>
  <c r="E71" i="4"/>
  <c r="F71" i="4" s="1"/>
  <c r="E67" i="4"/>
  <c r="F67" i="4" s="1"/>
  <c r="E63" i="4"/>
  <c r="F63" i="4" s="1"/>
  <c r="E162" i="4"/>
  <c r="F162" i="4" s="1"/>
  <c r="E158" i="4"/>
  <c r="F158" i="4" s="1"/>
  <c r="E154" i="4"/>
  <c r="F154" i="4" s="1"/>
  <c r="E150" i="4"/>
  <c r="F150" i="4" s="1"/>
  <c r="E146" i="4"/>
  <c r="F146" i="4" s="1"/>
  <c r="E142" i="4"/>
  <c r="F142" i="4" s="1"/>
  <c r="E138" i="4"/>
  <c r="F138" i="4" s="1"/>
  <c r="E134" i="4"/>
  <c r="F134" i="4" s="1"/>
  <c r="E130" i="4"/>
  <c r="F130" i="4" s="1"/>
  <c r="E126" i="4"/>
  <c r="F126" i="4" s="1"/>
  <c r="E122" i="4"/>
  <c r="F122" i="4" s="1"/>
  <c r="E118" i="4"/>
  <c r="F118" i="4" s="1"/>
  <c r="E114" i="4"/>
  <c r="F114" i="4" s="1"/>
  <c r="E110" i="4"/>
  <c r="F110" i="4" s="1"/>
  <c r="E106" i="4"/>
  <c r="F106" i="4" s="1"/>
  <c r="E102" i="4"/>
  <c r="F102" i="4" s="1"/>
  <c r="E98" i="4"/>
  <c r="F98" i="4" s="1"/>
  <c r="E94" i="4"/>
  <c r="F94" i="4" s="1"/>
  <c r="E90" i="4"/>
  <c r="F90" i="4" s="1"/>
  <c r="E86" i="4"/>
  <c r="F86" i="4" s="1"/>
  <c r="E82" i="4"/>
  <c r="F82" i="4" s="1"/>
  <c r="E78" i="4"/>
  <c r="F78" i="4" s="1"/>
  <c r="E74" i="4"/>
  <c r="F74" i="4" s="1"/>
  <c r="E70" i="4"/>
  <c r="F70" i="4" s="1"/>
  <c r="E66" i="4"/>
  <c r="F66" i="4" s="1"/>
  <c r="E62" i="4"/>
  <c r="F62" i="4" s="1"/>
  <c r="E58" i="4"/>
  <c r="F58" i="4" s="1"/>
  <c r="E54" i="4"/>
  <c r="F54" i="4" s="1"/>
  <c r="E50" i="4"/>
  <c r="F50" i="4" s="1"/>
  <c r="E59" i="4"/>
  <c r="F59" i="4" s="1"/>
  <c r="E55" i="4"/>
  <c r="F55" i="4" s="1"/>
  <c r="E51" i="4"/>
  <c r="F51" i="4" s="1"/>
  <c r="E160" i="4"/>
  <c r="F160" i="4" s="1"/>
  <c r="E156" i="4"/>
  <c r="F156" i="4" s="1"/>
  <c r="E152" i="4"/>
  <c r="F152" i="4" s="1"/>
  <c r="E148" i="4"/>
  <c r="F148" i="4" s="1"/>
  <c r="E144" i="4"/>
  <c r="F144" i="4" s="1"/>
  <c r="E140" i="4"/>
  <c r="F140" i="4" s="1"/>
  <c r="E136" i="4"/>
  <c r="F136" i="4" s="1"/>
  <c r="E96" i="4"/>
  <c r="F96" i="4" s="1"/>
  <c r="E92" i="4"/>
  <c r="F92" i="4" s="1"/>
  <c r="E88" i="4"/>
  <c r="F88" i="4" s="1"/>
  <c r="E84" i="4"/>
  <c r="F84" i="4" s="1"/>
  <c r="E80" i="4"/>
  <c r="F80" i="4" s="1"/>
  <c r="E76" i="4"/>
  <c r="F76" i="4" s="1"/>
  <c r="E72" i="4"/>
  <c r="F72" i="4" s="1"/>
  <c r="E68" i="4"/>
  <c r="F68" i="4" s="1"/>
  <c r="E64" i="4"/>
  <c r="F64" i="4" s="1"/>
  <c r="E60" i="4"/>
  <c r="F60" i="4" s="1"/>
  <c r="E56" i="4"/>
  <c r="F56" i="4" s="1"/>
  <c r="E52" i="4"/>
  <c r="F52" i="4" s="1"/>
  <c r="E161" i="4"/>
  <c r="F161" i="4" s="1"/>
  <c r="E157" i="4"/>
  <c r="F157" i="4" s="1"/>
  <c r="E153" i="4"/>
  <c r="F153" i="4" s="1"/>
  <c r="E149" i="4"/>
  <c r="F149" i="4" s="1"/>
  <c r="E145" i="4"/>
  <c r="F145" i="4" s="1"/>
  <c r="E141" i="4"/>
  <c r="F141" i="4" s="1"/>
  <c r="E137" i="4"/>
  <c r="F137" i="4" s="1"/>
  <c r="E97" i="4"/>
  <c r="F97" i="4" s="1"/>
  <c r="E93" i="4"/>
  <c r="F93" i="4" s="1"/>
  <c r="E89" i="4"/>
  <c r="F89" i="4" s="1"/>
  <c r="E85" i="4"/>
  <c r="F85" i="4" s="1"/>
  <c r="E81" i="4"/>
  <c r="F81" i="4" s="1"/>
  <c r="E77" i="4"/>
  <c r="F77" i="4" s="1"/>
  <c r="E73" i="4"/>
  <c r="F73" i="4" s="1"/>
  <c r="E69" i="4"/>
  <c r="F69" i="4" s="1"/>
  <c r="E65" i="4"/>
  <c r="F65" i="4" s="1"/>
  <c r="E61" i="4"/>
  <c r="F61" i="4" s="1"/>
  <c r="E57" i="4"/>
  <c r="F57" i="4" s="1"/>
  <c r="E205" i="4"/>
  <c r="F205" i="4" s="1"/>
  <c r="E189" i="4"/>
  <c r="F189" i="4" s="1"/>
  <c r="E181" i="4"/>
  <c r="F181" i="4" s="1"/>
  <c r="E177" i="4"/>
  <c r="F177" i="4" s="1"/>
  <c r="E173" i="4"/>
  <c r="F173" i="4" s="1"/>
  <c r="E169" i="4"/>
  <c r="F169" i="4" s="1"/>
  <c r="E165" i="4"/>
  <c r="F165" i="4" s="1"/>
  <c r="E131" i="4"/>
  <c r="F131" i="4" s="1"/>
  <c r="E127" i="4"/>
  <c r="F127" i="4" s="1"/>
  <c r="E123" i="4"/>
  <c r="F123" i="4" s="1"/>
  <c r="E119" i="4"/>
  <c r="F119" i="4" s="1"/>
  <c r="E115" i="4"/>
  <c r="F115" i="4" s="1"/>
  <c r="E111" i="4"/>
  <c r="F111" i="4" s="1"/>
  <c r="E107" i="4"/>
  <c r="F107" i="4" s="1"/>
  <c r="E103" i="4"/>
  <c r="F103" i="4" s="1"/>
  <c r="E201" i="4"/>
  <c r="F201" i="4" s="1"/>
  <c r="E197" i="4"/>
  <c r="F197" i="4" s="1"/>
  <c r="E132" i="4"/>
  <c r="F132" i="4" s="1"/>
  <c r="E128" i="4"/>
  <c r="F128" i="4" s="1"/>
  <c r="E124" i="4"/>
  <c r="F124" i="4" s="1"/>
  <c r="E120" i="4"/>
  <c r="F120" i="4" s="1"/>
  <c r="E116" i="4"/>
  <c r="F116" i="4" s="1"/>
  <c r="E112" i="4"/>
  <c r="F112" i="4" s="1"/>
  <c r="E108" i="4"/>
  <c r="F108" i="4" s="1"/>
  <c r="E104" i="4"/>
  <c r="F104" i="4" s="1"/>
  <c r="E100" i="4"/>
  <c r="F100" i="4" s="1"/>
  <c r="E209" i="4"/>
  <c r="F209" i="4" s="1"/>
  <c r="E193" i="4"/>
  <c r="F193" i="4" s="1"/>
  <c r="E185" i="4"/>
  <c r="F185" i="4" s="1"/>
  <c r="E133" i="4"/>
  <c r="F133" i="4" s="1"/>
  <c r="E129" i="4"/>
  <c r="F129" i="4" s="1"/>
  <c r="E125" i="4"/>
  <c r="F125" i="4" s="1"/>
  <c r="E121" i="4"/>
  <c r="F121" i="4" s="1"/>
  <c r="E117" i="4"/>
  <c r="F117" i="4" s="1"/>
  <c r="E113" i="4"/>
  <c r="F113" i="4" s="1"/>
  <c r="E109" i="4"/>
  <c r="F109" i="4" s="1"/>
  <c r="E105" i="4"/>
  <c r="F105" i="4" s="1"/>
  <c r="E101" i="4"/>
  <c r="F101" i="4" s="1"/>
  <c r="E210" i="4"/>
  <c r="F210" i="4" s="1"/>
  <c r="E198" i="4"/>
  <c r="F198" i="4" s="1"/>
  <c r="E190" i="4"/>
  <c r="F190" i="4" s="1"/>
  <c r="E186" i="4"/>
  <c r="F186" i="4" s="1"/>
  <c r="E182" i="4"/>
  <c r="F182" i="4" s="1"/>
  <c r="E178" i="4"/>
  <c r="F178" i="4" s="1"/>
  <c r="E174" i="4"/>
  <c r="F174" i="4" s="1"/>
  <c r="E170" i="4"/>
  <c r="F170" i="4" s="1"/>
  <c r="E211" i="4"/>
  <c r="F211" i="4" s="1"/>
  <c r="E207" i="4"/>
  <c r="F207" i="4" s="1"/>
  <c r="E203" i="4"/>
  <c r="F203" i="4" s="1"/>
  <c r="E199" i="4"/>
  <c r="F199" i="4" s="1"/>
  <c r="E195" i="4"/>
  <c r="F195" i="4" s="1"/>
  <c r="E191" i="4"/>
  <c r="F191" i="4" s="1"/>
  <c r="E187" i="4"/>
  <c r="F187" i="4" s="1"/>
  <c r="E183" i="4"/>
  <c r="F183" i="4" s="1"/>
  <c r="E179" i="4"/>
  <c r="F179" i="4" s="1"/>
  <c r="E175" i="4"/>
  <c r="F175" i="4" s="1"/>
  <c r="E171" i="4"/>
  <c r="F171" i="4" s="1"/>
  <c r="E167" i="4"/>
  <c r="F167" i="4" s="1"/>
  <c r="E206" i="4"/>
  <c r="F206" i="4" s="1"/>
  <c r="E202" i="4"/>
  <c r="F202" i="4" s="1"/>
  <c r="E194" i="4"/>
  <c r="F194" i="4" s="1"/>
  <c r="E166" i="4"/>
  <c r="F166" i="4" s="1"/>
  <c r="E208" i="4"/>
  <c r="F208" i="4" s="1"/>
  <c r="E204" i="4"/>
  <c r="F204" i="4" s="1"/>
  <c r="E200" i="4"/>
  <c r="F200" i="4" s="1"/>
  <c r="E196" i="4"/>
  <c r="F196" i="4" s="1"/>
  <c r="E192" i="4"/>
  <c r="F192" i="4" s="1"/>
  <c r="E188" i="4"/>
  <c r="F188" i="4" s="1"/>
  <c r="E184" i="4"/>
  <c r="F184" i="4" s="1"/>
  <c r="E180" i="4"/>
  <c r="F180" i="4" s="1"/>
  <c r="E176" i="4"/>
  <c r="F176" i="4" s="1"/>
  <c r="E172" i="4"/>
  <c r="F172" i="4" s="1"/>
  <c r="E168" i="4"/>
  <c r="F168" i="4" s="1"/>
  <c r="E164" i="4"/>
  <c r="F164" i="4" s="1"/>
  <c r="E48" i="4"/>
  <c r="F48" i="4" s="1"/>
  <c r="F4" i="5" a="1"/>
  <c r="H6" i="5" s="1"/>
  <c r="D20" i="4"/>
  <c r="C20" i="4"/>
  <c r="B20" i="4"/>
  <c r="J12" i="4"/>
  <c r="J13" i="4"/>
  <c r="J11" i="4"/>
  <c r="F11" i="4" a="1"/>
  <c r="F12" i="4" s="1"/>
  <c r="F4" i="4" a="1"/>
  <c r="H6" i="4" s="1"/>
  <c r="E4" i="3" a="1"/>
  <c r="E4" i="3" s="1"/>
  <c r="H5" i="3"/>
  <c r="H4" i="3"/>
  <c r="E29" i="5" l="1"/>
  <c r="E40" i="5"/>
  <c r="F28" i="5" a="1"/>
  <c r="F28" i="5" s="1"/>
  <c r="F29" i="5" s="1"/>
  <c r="F30" i="5" a="1"/>
  <c r="F30" i="5" s="1"/>
  <c r="F31" i="5" s="1"/>
  <c r="F26" i="5"/>
  <c r="F25" i="5"/>
  <c r="B28" i="5" a="1"/>
  <c r="B28" i="5" s="1"/>
  <c r="B29" i="5" s="1"/>
  <c r="B30" i="5" a="1"/>
  <c r="B30" i="5" s="1"/>
  <c r="B31" i="5" s="1"/>
  <c r="B26" i="5"/>
  <c r="B25" i="5"/>
  <c r="C27" i="5"/>
  <c r="K11" i="5" a="1"/>
  <c r="K11" i="5" s="1"/>
  <c r="F26" i="4"/>
  <c r="F27" i="4" s="1"/>
  <c r="F28" i="4" a="1"/>
  <c r="F28" i="4" s="1"/>
  <c r="F29" i="4" s="1"/>
  <c r="F4" i="5"/>
  <c r="G4" i="5"/>
  <c r="H4" i="5"/>
  <c r="F5" i="5"/>
  <c r="G5" i="5"/>
  <c r="H5" i="5"/>
  <c r="F6" i="5"/>
  <c r="G6" i="5"/>
  <c r="G13" i="4"/>
  <c r="H13" i="4"/>
  <c r="G12" i="4"/>
  <c r="H12" i="4"/>
  <c r="F13" i="4"/>
  <c r="H11" i="4"/>
  <c r="F11" i="4"/>
  <c r="G11" i="4"/>
  <c r="G5" i="4"/>
  <c r="F6" i="4"/>
  <c r="F4" i="4"/>
  <c r="G4" i="4"/>
  <c r="H4" i="4"/>
  <c r="H5" i="4"/>
  <c r="F5" i="4"/>
  <c r="G6" i="4"/>
  <c r="F5" i="3"/>
  <c r="E5" i="3"/>
  <c r="F4" i="3"/>
  <c r="I4" i="3" s="1" a="1"/>
  <c r="I4" i="3" s="1"/>
  <c r="F3" i="2" a="1"/>
  <c r="F3" i="2" s="1"/>
  <c r="B27" i="5" l="1"/>
  <c r="F27" i="5"/>
  <c r="K12" i="5"/>
  <c r="K13" i="5"/>
  <c r="M11" i="5" a="1"/>
  <c r="M11" i="5" s="1"/>
  <c r="J5" i="5"/>
  <c r="J4" i="5"/>
  <c r="K4" i="5" a="1"/>
  <c r="J6" i="5"/>
  <c r="K11" i="4" a="1"/>
  <c r="J6" i="4"/>
  <c r="K4" i="4" a="1"/>
  <c r="J4" i="4"/>
  <c r="J5" i="4"/>
  <c r="I5" i="3"/>
  <c r="K4" i="3" s="1" a="1"/>
  <c r="K4" i="3" s="1"/>
  <c r="L4" i="3" s="1"/>
  <c r="G5" i="2"/>
  <c r="H3" i="2"/>
  <c r="H4" i="2"/>
  <c r="G3" i="2"/>
  <c r="F4" i="2"/>
  <c r="F5" i="2"/>
  <c r="H5" i="2"/>
  <c r="G4" i="2"/>
  <c r="J19" i="1" a="1"/>
  <c r="J19" i="1" s="1"/>
  <c r="J20" i="1" s="1"/>
  <c r="J18" i="1" a="1"/>
  <c r="J18" i="1" s="1"/>
  <c r="J17" i="1"/>
  <c r="F4" i="1" a="1"/>
  <c r="F5" i="1" s="1"/>
  <c r="M12" i="5" l="1"/>
  <c r="M13" i="5"/>
  <c r="N13" i="5"/>
  <c r="N11" i="5"/>
  <c r="N12" i="5"/>
  <c r="I6" i="3"/>
  <c r="I8" i="3" s="1"/>
  <c r="K6" i="5"/>
  <c r="K5" i="5"/>
  <c r="K4" i="5"/>
  <c r="M4" i="5"/>
  <c r="K11" i="4"/>
  <c r="M4" i="4"/>
  <c r="K5" i="4"/>
  <c r="K4" i="4"/>
  <c r="K6" i="4"/>
  <c r="L5" i="3"/>
  <c r="J3" i="2"/>
  <c r="K3" i="2" a="1"/>
  <c r="J5" i="2"/>
  <c r="J4" i="2"/>
  <c r="J5" i="1"/>
  <c r="H4" i="1"/>
  <c r="G4" i="1"/>
  <c r="F4" i="1"/>
  <c r="H6" i="1"/>
  <c r="G6" i="1"/>
  <c r="F6" i="1"/>
  <c r="H5" i="1"/>
  <c r="G5" i="1"/>
  <c r="I9" i="3" l="1"/>
  <c r="I10" i="3" s="1"/>
  <c r="M6" i="5" a="1"/>
  <c r="M6" i="5" s="1"/>
  <c r="M5" i="5"/>
  <c r="K14" i="4"/>
  <c r="M6" i="4" a="1"/>
  <c r="M6" i="4" s="1"/>
  <c r="M5" i="4"/>
  <c r="K3" i="2"/>
  <c r="K5" i="2"/>
  <c r="K4" i="2"/>
  <c r="M3" i="2"/>
  <c r="G15" i="2"/>
  <c r="K4" i="1" a="1"/>
  <c r="J4" i="1"/>
  <c r="J6" i="1"/>
  <c r="D44" i="1"/>
  <c r="E130" i="1" a="1"/>
  <c r="E130" i="1" s="1"/>
  <c r="F125" i="1" a="1"/>
  <c r="F125" i="1" s="1"/>
  <c r="E51" i="1" a="1"/>
  <c r="E51" i="1" s="1"/>
  <c r="D101" i="1"/>
  <c r="E139" i="1" a="1"/>
  <c r="E139" i="1" s="1"/>
  <c r="F147" i="1" a="1"/>
  <c r="F147" i="1" s="1"/>
  <c r="F129" i="1" a="1"/>
  <c r="F129" i="1" s="1"/>
  <c r="D103" i="1"/>
  <c r="D157" i="1"/>
  <c r="E131" i="1" a="1"/>
  <c r="E131" i="1" s="1"/>
  <c r="E149" i="1" a="1"/>
  <c r="E149" i="1" s="1"/>
  <c r="E105" i="1" a="1"/>
  <c r="E105" i="1" s="1"/>
  <c r="E150" i="1" a="1"/>
  <c r="E150" i="1" s="1"/>
  <c r="E138" i="1" a="1"/>
  <c r="E138" i="1" s="1"/>
  <c r="E160" i="1" a="1"/>
  <c r="E160" i="1" s="1"/>
  <c r="E93" i="1" a="1"/>
  <c r="E93" i="1" s="1"/>
  <c r="D87" i="1"/>
  <c r="D39" i="1"/>
  <c r="E58" i="1" a="1"/>
  <c r="E58" i="1" s="1"/>
  <c r="E43" i="1" a="1"/>
  <c r="E43" i="1" s="1"/>
  <c r="D109" i="1"/>
  <c r="D88" i="1"/>
  <c r="D121" i="1"/>
  <c r="D98" i="1"/>
  <c r="D90" i="1"/>
  <c r="D120" i="1"/>
  <c r="D66" i="1"/>
  <c r="D161" i="1"/>
  <c r="D56" i="1"/>
  <c r="D112" i="1"/>
  <c r="D99" i="1"/>
  <c r="D38" i="1"/>
  <c r="D64" i="1"/>
  <c r="D116" i="1"/>
  <c r="E84" i="1" a="1"/>
  <c r="E84" i="1" s="1"/>
  <c r="D89" i="1"/>
  <c r="D124" i="1"/>
  <c r="D86" i="1"/>
  <c r="D72" i="1"/>
  <c r="D48" i="1"/>
  <c r="D106" i="1"/>
  <c r="E141" i="1" a="1"/>
  <c r="E141" i="1" s="1"/>
  <c r="D68" i="1"/>
  <c r="E127" i="1" a="1"/>
  <c r="E127" i="1" s="1"/>
  <c r="E57" i="1" a="1"/>
  <c r="E57" i="1" s="1"/>
  <c r="D83" i="1"/>
  <c r="D78" i="1"/>
  <c r="E82" i="1" a="1"/>
  <c r="E82" i="1" s="1"/>
  <c r="D71" i="1"/>
  <c r="D132" i="1"/>
  <c r="D135" i="1"/>
  <c r="E114" i="1" a="1"/>
  <c r="E114" i="1" s="1"/>
  <c r="D59" i="1"/>
  <c r="D95" i="1"/>
  <c r="D76" i="1"/>
  <c r="F40" i="1" a="1"/>
  <c r="F40" i="1" s="1"/>
  <c r="E92" i="1" a="1"/>
  <c r="E92" i="1" s="1"/>
  <c r="D113" i="1"/>
  <c r="D91" i="1"/>
  <c r="E53" i="1" a="1"/>
  <c r="E53" i="1" s="1"/>
  <c r="D122" i="1"/>
  <c r="D104" i="1"/>
  <c r="D145" i="1"/>
  <c r="E107" i="1" a="1"/>
  <c r="E107" i="1" s="1"/>
  <c r="D123" i="1"/>
  <c r="D142" i="1"/>
  <c r="D137" i="1"/>
  <c r="E119" i="1" a="1"/>
  <c r="E119" i="1" s="1"/>
  <c r="D62" i="1"/>
  <c r="D46" i="1"/>
  <c r="D115" i="1"/>
  <c r="E96" i="1" a="1"/>
  <c r="E96" i="1" s="1"/>
  <c r="D42" i="1"/>
  <c r="D54" i="1"/>
  <c r="D49" i="1"/>
  <c r="E156" i="1" a="1"/>
  <c r="E156" i="1" s="1"/>
  <c r="D136" i="1"/>
  <c r="D126" i="1"/>
  <c r="D77" i="1"/>
  <c r="E65" i="1" a="1"/>
  <c r="E65" i="1" s="1"/>
  <c r="E143" i="1" a="1"/>
  <c r="E143" i="1" s="1"/>
  <c r="D79" i="1"/>
  <c r="D100" i="1"/>
  <c r="E111" i="1" a="1"/>
  <c r="E111" i="1" s="1"/>
  <c r="D140" i="1"/>
  <c r="D159" i="1"/>
  <c r="D70" i="1"/>
  <c r="E41" i="1" a="1"/>
  <c r="E41" i="1" s="1"/>
  <c r="E81" i="1" a="1"/>
  <c r="E81" i="1" s="1"/>
  <c r="D155" i="1"/>
  <c r="D60" i="1"/>
  <c r="E37" i="1" a="1"/>
  <c r="E37" i="1" s="1"/>
  <c r="E61" i="1" a="1"/>
  <c r="E61" i="1" s="1"/>
  <c r="D80" i="1"/>
  <c r="D67" i="1"/>
  <c r="E146" i="1" a="1"/>
  <c r="E146" i="1" s="1"/>
  <c r="E154" i="1" a="1"/>
  <c r="E154" i="1" s="1"/>
  <c r="D55" i="1"/>
  <c r="E69" i="1" a="1"/>
  <c r="E69" i="1" s="1"/>
  <c r="E94" i="1" a="1"/>
  <c r="E94" i="1" s="1"/>
  <c r="E134" i="1" a="1"/>
  <c r="E134" i="1" s="1"/>
  <c r="D133" i="1"/>
  <c r="D118" i="1"/>
  <c r="E144" i="1" a="1"/>
  <c r="E144" i="1" s="1"/>
  <c r="D97" i="1"/>
  <c r="D158" i="1"/>
  <c r="D85" i="1"/>
  <c r="E152" i="1" a="1"/>
  <c r="E152" i="1" s="1"/>
  <c r="D151" i="1"/>
  <c r="D45" i="1"/>
  <c r="D74" i="1"/>
  <c r="D117" i="1"/>
  <c r="D148" i="1"/>
  <c r="E153" i="1" a="1"/>
  <c r="E153" i="1" s="1"/>
  <c r="E108" i="1" a="1"/>
  <c r="E108" i="1" s="1"/>
  <c r="D102" i="1"/>
  <c r="D47" i="1"/>
  <c r="D75" i="1"/>
  <c r="D50" i="1"/>
  <c r="D63" i="1"/>
  <c r="D128" i="1"/>
  <c r="D73" i="1"/>
  <c r="D52" i="1"/>
  <c r="D110" i="1"/>
  <c r="M7" i="5" l="1"/>
  <c r="O4" i="5" s="1"/>
  <c r="O5" i="5"/>
  <c r="E25" i="4"/>
  <c r="M13" i="4"/>
  <c r="E22" i="4"/>
  <c r="M7" i="4"/>
  <c r="E35" i="4" s="1"/>
  <c r="G16" i="2"/>
  <c r="G17" i="2"/>
  <c r="G20" i="2"/>
  <c r="G21" i="2" s="1"/>
  <c r="M5" i="2" a="1"/>
  <c r="M5" i="2" s="1"/>
  <c r="M4" i="2"/>
  <c r="M4" i="1"/>
  <c r="F16" i="1" s="1"/>
  <c r="K5" i="1"/>
  <c r="K6" i="1"/>
  <c r="K4" i="1"/>
  <c r="D141" i="1"/>
  <c r="D149" i="1"/>
  <c r="D138" i="1"/>
  <c r="D43" i="1"/>
  <c r="D131" i="1"/>
  <c r="E103" i="1" a="1"/>
  <c r="E103" i="1" s="1"/>
  <c r="E125" i="1" a="1"/>
  <c r="E125" i="1" s="1"/>
  <c r="D107" i="1"/>
  <c r="D130" i="1"/>
  <c r="D139" i="1"/>
  <c r="D61" i="1"/>
  <c r="D111" i="1"/>
  <c r="D150" i="1"/>
  <c r="D147" i="1"/>
  <c r="D119" i="1"/>
  <c r="D96" i="1"/>
  <c r="D92" i="1"/>
  <c r="D57" i="1"/>
  <c r="D153" i="1"/>
  <c r="D125" i="1"/>
  <c r="E147" i="1" a="1"/>
  <c r="E147" i="1" s="1"/>
  <c r="F155" i="1" a="1"/>
  <c r="F155" i="1" s="1"/>
  <c r="D105" i="1"/>
  <c r="D40" i="1"/>
  <c r="D65" i="1"/>
  <c r="F54" i="1" a="1"/>
  <c r="F54" i="1" s="1"/>
  <c r="D82" i="1"/>
  <c r="D127" i="1"/>
  <c r="F87" i="1" a="1"/>
  <c r="F87" i="1" s="1"/>
  <c r="D53" i="1"/>
  <c r="D114" i="1"/>
  <c r="D156" i="1"/>
  <c r="F82" i="1" a="1"/>
  <c r="F82" i="1" s="1"/>
  <c r="D94" i="1"/>
  <c r="D37" i="1"/>
  <c r="F133" i="1" a="1"/>
  <c r="F133" i="1" s="1"/>
  <c r="F159" i="1" a="1"/>
  <c r="F159" i="1" s="1"/>
  <c r="F46" i="1" a="1"/>
  <c r="F46" i="1" s="1"/>
  <c r="F150" i="1" a="1"/>
  <c r="F150" i="1" s="1"/>
  <c r="F127" i="1" a="1"/>
  <c r="F127" i="1" s="1"/>
  <c r="F117" i="1" a="1"/>
  <c r="F117" i="1" s="1"/>
  <c r="D129" i="1"/>
  <c r="D51" i="1"/>
  <c r="F55" i="1" a="1"/>
  <c r="F55" i="1" s="1"/>
  <c r="F79" i="1" a="1"/>
  <c r="F79" i="1" s="1"/>
  <c r="F90" i="1" a="1"/>
  <c r="F90" i="1" s="1"/>
  <c r="F123" i="1" a="1"/>
  <c r="F123" i="1" s="1"/>
  <c r="E129" i="1" a="1"/>
  <c r="E129" i="1" s="1"/>
  <c r="F80" i="1" a="1"/>
  <c r="F80" i="1" s="1"/>
  <c r="F126" i="1" a="1"/>
  <c r="F126" i="1" s="1"/>
  <c r="F112" i="1" a="1"/>
  <c r="F112" i="1" s="1"/>
  <c r="F53" i="1" a="1"/>
  <c r="F53" i="1" s="1"/>
  <c r="F131" i="1" a="1"/>
  <c r="F131" i="1" s="1"/>
  <c r="F121" i="1" a="1"/>
  <c r="F121" i="1" s="1"/>
  <c r="F102" i="1" a="1"/>
  <c r="F102" i="1" s="1"/>
  <c r="F52" i="1" a="1"/>
  <c r="F52" i="1" s="1"/>
  <c r="F72" i="1" a="1"/>
  <c r="F72" i="1" s="1"/>
  <c r="F135" i="1" a="1"/>
  <c r="F135" i="1" s="1"/>
  <c r="F148" i="1" a="1"/>
  <c r="F148" i="1" s="1"/>
  <c r="F130" i="1" a="1"/>
  <c r="F130" i="1" s="1"/>
  <c r="F76" i="1" a="1"/>
  <c r="F76" i="1" s="1"/>
  <c r="F84" i="1" a="1"/>
  <c r="F84" i="1" s="1"/>
  <c r="F50" i="1" a="1"/>
  <c r="F50" i="1" s="1"/>
  <c r="F137" i="1" a="1"/>
  <c r="F137" i="1" s="1"/>
  <c r="D152" i="1"/>
  <c r="D41" i="1"/>
  <c r="E80" i="1" a="1"/>
  <c r="E80" i="1" s="1"/>
  <c r="E40" i="1" a="1"/>
  <c r="E40" i="1" s="1"/>
  <c r="F97" i="1" a="1"/>
  <c r="F97" i="1" s="1"/>
  <c r="F134" i="1" a="1"/>
  <c r="F134" i="1" s="1"/>
  <c r="F154" i="1" a="1"/>
  <c r="F154" i="1" s="1"/>
  <c r="F61" i="1" a="1"/>
  <c r="F61" i="1" s="1"/>
  <c r="F81" i="1" a="1"/>
  <c r="F81" i="1" s="1"/>
  <c r="F140" i="1" a="1"/>
  <c r="F140" i="1" s="1"/>
  <c r="F143" i="1" a="1"/>
  <c r="F143" i="1" s="1"/>
  <c r="F136" i="1" a="1"/>
  <c r="F136" i="1" s="1"/>
  <c r="F42" i="1" a="1"/>
  <c r="F42" i="1" s="1"/>
  <c r="F62" i="1" a="1"/>
  <c r="F62" i="1" s="1"/>
  <c r="F73" i="1" a="1"/>
  <c r="F73" i="1" s="1"/>
  <c r="F44" i="1" a="1"/>
  <c r="F44" i="1" s="1"/>
  <c r="F85" i="1" a="1"/>
  <c r="F85" i="1" s="1"/>
  <c r="F91" i="1" a="1"/>
  <c r="F91" i="1" s="1"/>
  <c r="F95" i="1" a="1"/>
  <c r="F95" i="1" s="1"/>
  <c r="F132" i="1" a="1"/>
  <c r="F132" i="1" s="1"/>
  <c r="F56" i="1" a="1"/>
  <c r="F56" i="1" s="1"/>
  <c r="F43" i="1" a="1"/>
  <c r="F43" i="1" s="1"/>
  <c r="F105" i="1" a="1"/>
  <c r="F105" i="1" s="1"/>
  <c r="F47" i="1" a="1"/>
  <c r="F47" i="1" s="1"/>
  <c r="F141" i="1" a="1"/>
  <c r="F141" i="1" s="1"/>
  <c r="F113" i="1" a="1"/>
  <c r="F113" i="1" s="1"/>
  <c r="F86" i="1" a="1"/>
  <c r="F86" i="1" s="1"/>
  <c r="F116" i="1" a="1"/>
  <c r="F116" i="1" s="1"/>
  <c r="F78" i="1" a="1"/>
  <c r="F78" i="1" s="1"/>
  <c r="F109" i="1" a="1"/>
  <c r="F109" i="1" s="1"/>
  <c r="F157" i="1" a="1"/>
  <c r="F157" i="1" s="1"/>
  <c r="F139" i="1" a="1"/>
  <c r="F139" i="1" s="1"/>
  <c r="F151" i="1" a="1"/>
  <c r="F151" i="1" s="1"/>
  <c r="F107" i="1" a="1"/>
  <c r="F107" i="1" s="1"/>
  <c r="E157" i="1" a="1"/>
  <c r="E157" i="1" s="1"/>
  <c r="E126" i="1" a="1"/>
  <c r="E126" i="1" s="1"/>
  <c r="E89" i="1" a="1"/>
  <c r="E89" i="1" s="1"/>
  <c r="F144" i="1" a="1"/>
  <c r="F144" i="1" s="1"/>
  <c r="F94" i="1" a="1"/>
  <c r="F94" i="1" s="1"/>
  <c r="F146" i="1" a="1"/>
  <c r="F146" i="1" s="1"/>
  <c r="F37" i="1" a="1"/>
  <c r="F37" i="1" s="1"/>
  <c r="F41" i="1" a="1"/>
  <c r="F41" i="1" s="1"/>
  <c r="F111" i="1" a="1"/>
  <c r="F111" i="1" s="1"/>
  <c r="F65" i="1" a="1"/>
  <c r="F65" i="1" s="1"/>
  <c r="F156" i="1" a="1"/>
  <c r="F156" i="1" s="1"/>
  <c r="F96" i="1" a="1"/>
  <c r="F96" i="1" s="1"/>
  <c r="F88" i="1" a="1"/>
  <c r="F88" i="1" s="1"/>
  <c r="F128" i="1" a="1"/>
  <c r="F128" i="1" s="1"/>
  <c r="F75" i="1" a="1"/>
  <c r="F75" i="1" s="1"/>
  <c r="F158" i="1" a="1"/>
  <c r="F158" i="1" s="1"/>
  <c r="F106" i="1" a="1"/>
  <c r="F106" i="1" s="1"/>
  <c r="F59" i="1" a="1"/>
  <c r="F59" i="1" s="1"/>
  <c r="F71" i="1" a="1"/>
  <c r="F71" i="1" s="1"/>
  <c r="F83" i="1" a="1"/>
  <c r="F83" i="1" s="1"/>
  <c r="F110" i="1" a="1"/>
  <c r="F110" i="1" s="1"/>
  <c r="F160" i="1" a="1"/>
  <c r="F160" i="1" s="1"/>
  <c r="F149" i="1" a="1"/>
  <c r="F149" i="1" s="1"/>
  <c r="F108" i="1" a="1"/>
  <c r="F108" i="1" s="1"/>
  <c r="F104" i="1" a="1"/>
  <c r="F104" i="1" s="1"/>
  <c r="F92" i="1" a="1"/>
  <c r="F92" i="1" s="1"/>
  <c r="F124" i="1" a="1"/>
  <c r="F124" i="1" s="1"/>
  <c r="F64" i="1" a="1"/>
  <c r="F64" i="1" s="1"/>
  <c r="F161" i="1" a="1"/>
  <c r="F161" i="1" s="1"/>
  <c r="F39" i="1" a="1"/>
  <c r="F39" i="1" s="1"/>
  <c r="F103" i="1" a="1"/>
  <c r="F103" i="1" s="1"/>
  <c r="F101" i="1" a="1"/>
  <c r="F101" i="1" s="1"/>
  <c r="F152" i="1" a="1"/>
  <c r="F152" i="1" s="1"/>
  <c r="F145" i="1" a="1"/>
  <c r="F145" i="1" s="1"/>
  <c r="E46" i="1" a="1"/>
  <c r="E46" i="1" s="1"/>
  <c r="E38" i="1" a="1"/>
  <c r="E38" i="1" s="1"/>
  <c r="F118" i="1" a="1"/>
  <c r="F118" i="1" s="1"/>
  <c r="F69" i="1" a="1"/>
  <c r="F69" i="1" s="1"/>
  <c r="F67" i="1" a="1"/>
  <c r="F67" i="1" s="1"/>
  <c r="F60" i="1" a="1"/>
  <c r="F60" i="1" s="1"/>
  <c r="F70" i="1" a="1"/>
  <c r="F70" i="1" s="1"/>
  <c r="F100" i="1" a="1"/>
  <c r="F100" i="1" s="1"/>
  <c r="F77" i="1" a="1"/>
  <c r="F77" i="1" s="1"/>
  <c r="F49" i="1" a="1"/>
  <c r="F49" i="1" s="1"/>
  <c r="F115" i="1" a="1"/>
  <c r="F115" i="1" s="1"/>
  <c r="F58" i="1" a="1"/>
  <c r="F58" i="1" s="1"/>
  <c r="F98" i="1" a="1"/>
  <c r="F98" i="1" s="1"/>
  <c r="F45" i="1" a="1"/>
  <c r="F45" i="1" s="1"/>
  <c r="F142" i="1" a="1"/>
  <c r="F142" i="1" s="1"/>
  <c r="F48" i="1" a="1"/>
  <c r="F48" i="1" s="1"/>
  <c r="F114" i="1" a="1"/>
  <c r="F114" i="1" s="1"/>
  <c r="F99" i="1" a="1"/>
  <c r="F99" i="1" s="1"/>
  <c r="F57" i="1" a="1"/>
  <c r="F57" i="1" s="1"/>
  <c r="F74" i="1" a="1"/>
  <c r="F74" i="1" s="1"/>
  <c r="F138" i="1" a="1"/>
  <c r="F138" i="1" s="1"/>
  <c r="F119" i="1" a="1"/>
  <c r="F119" i="1" s="1"/>
  <c r="F122" i="1" a="1"/>
  <c r="F122" i="1" s="1"/>
  <c r="F89" i="1" a="1"/>
  <c r="F89" i="1" s="1"/>
  <c r="F38" i="1" a="1"/>
  <c r="F38" i="1" s="1"/>
  <c r="F66" i="1" a="1"/>
  <c r="F66" i="1" s="1"/>
  <c r="F63" i="1" a="1"/>
  <c r="F63" i="1" s="1"/>
  <c r="F93" i="1" a="1"/>
  <c r="F93" i="1" s="1"/>
  <c r="F51" i="1" a="1"/>
  <c r="F51" i="1" s="1"/>
  <c r="F153" i="1" a="1"/>
  <c r="F153" i="1" s="1"/>
  <c r="F120" i="1" a="1"/>
  <c r="F120" i="1" s="1"/>
  <c r="D108" i="1"/>
  <c r="D160" i="1"/>
  <c r="D144" i="1"/>
  <c r="D69" i="1"/>
  <c r="D146" i="1"/>
  <c r="E159" i="1" a="1"/>
  <c r="E159" i="1" s="1"/>
  <c r="E39" i="1" a="1"/>
  <c r="E39" i="1" s="1"/>
  <c r="E44" i="1" a="1"/>
  <c r="E44" i="1" s="1"/>
  <c r="E86" i="1" a="1"/>
  <c r="E86" i="1" s="1"/>
  <c r="D134" i="1"/>
  <c r="D154" i="1"/>
  <c r="D143" i="1"/>
  <c r="E128" i="1" a="1"/>
  <c r="E128" i="1" s="1"/>
  <c r="E133" i="1" a="1"/>
  <c r="E133" i="1" s="1"/>
  <c r="E116" i="1" a="1"/>
  <c r="E116" i="1" s="1"/>
  <c r="F68" i="1" a="1"/>
  <c r="F68" i="1" s="1"/>
  <c r="E91" i="1" a="1"/>
  <c r="E91" i="1" s="1"/>
  <c r="E66" i="1" a="1"/>
  <c r="E66" i="1" s="1"/>
  <c r="D93" i="1"/>
  <c r="E101" i="1" a="1"/>
  <c r="E101" i="1" s="1"/>
  <c r="E62" i="1" a="1"/>
  <c r="E62" i="1" s="1"/>
  <c r="E121" i="1" a="1"/>
  <c r="E121" i="1" s="1"/>
  <c r="E63" i="1" a="1"/>
  <c r="E63" i="1" s="1"/>
  <c r="E117" i="1" a="1"/>
  <c r="E117" i="1" s="1"/>
  <c r="E140" i="1" a="1"/>
  <c r="E140" i="1" s="1"/>
  <c r="E136" i="1" a="1"/>
  <c r="E136" i="1" s="1"/>
  <c r="E88" i="1" a="1"/>
  <c r="E88" i="1" s="1"/>
  <c r="E85" i="1" a="1"/>
  <c r="E85" i="1" s="1"/>
  <c r="E104" i="1" a="1"/>
  <c r="E104" i="1" s="1"/>
  <c r="E113" i="1" a="1"/>
  <c r="E113" i="1" s="1"/>
  <c r="E48" i="1" a="1"/>
  <c r="E48" i="1" s="1"/>
  <c r="E95" i="1" a="1"/>
  <c r="E95" i="1" s="1"/>
  <c r="E132" i="1" a="1"/>
  <c r="E132" i="1" s="1"/>
  <c r="E99" i="1" a="1"/>
  <c r="E99" i="1" s="1"/>
  <c r="E56" i="1" a="1"/>
  <c r="E56" i="1" s="1"/>
  <c r="E110" i="1" a="1"/>
  <c r="E110" i="1" s="1"/>
  <c r="E145" i="1" a="1"/>
  <c r="E145" i="1" s="1"/>
  <c r="E115" i="1" a="1"/>
  <c r="E115" i="1" s="1"/>
  <c r="E67" i="1" a="1"/>
  <c r="E67" i="1" s="1"/>
  <c r="E74" i="1" a="1"/>
  <c r="E74" i="1" s="1"/>
  <c r="D84" i="1"/>
  <c r="D58" i="1"/>
  <c r="E55" i="1" a="1"/>
  <c r="E55" i="1" s="1"/>
  <c r="E155" i="1" a="1"/>
  <c r="E155" i="1" s="1"/>
  <c r="E79" i="1" a="1"/>
  <c r="E79" i="1" s="1"/>
  <c r="E54" i="1" a="1"/>
  <c r="E54" i="1" s="1"/>
  <c r="E45" i="1" a="1"/>
  <c r="E45" i="1" s="1"/>
  <c r="E87" i="1" a="1"/>
  <c r="E87" i="1" s="1"/>
  <c r="E97" i="1" a="1"/>
  <c r="E97" i="1" s="1"/>
  <c r="E60" i="1" a="1"/>
  <c r="E60" i="1" s="1"/>
  <c r="E100" i="1" a="1"/>
  <c r="E100" i="1" s="1"/>
  <c r="E49" i="1" a="1"/>
  <c r="E49" i="1" s="1"/>
  <c r="E90" i="1" a="1"/>
  <c r="E90" i="1" s="1"/>
  <c r="E75" i="1" a="1"/>
  <c r="E75" i="1" s="1"/>
  <c r="E158" i="1" a="1"/>
  <c r="E158" i="1" s="1"/>
  <c r="E122" i="1" a="1"/>
  <c r="E122" i="1" s="1"/>
  <c r="E106" i="1" a="1"/>
  <c r="E106" i="1" s="1"/>
  <c r="E76" i="1" a="1"/>
  <c r="E76" i="1" s="1"/>
  <c r="E124" i="1" a="1"/>
  <c r="E124" i="1" s="1"/>
  <c r="E64" i="1" a="1"/>
  <c r="E64" i="1" s="1"/>
  <c r="E161" i="1" a="1"/>
  <c r="E161" i="1" s="1"/>
  <c r="E120" i="1" a="1"/>
  <c r="E120" i="1" s="1"/>
  <c r="E50" i="1" a="1"/>
  <c r="E50" i="1" s="1"/>
  <c r="E123" i="1" a="1"/>
  <c r="E123" i="1" s="1"/>
  <c r="E70" i="1" a="1"/>
  <c r="E70" i="1" s="1"/>
  <c r="E77" i="1" a="1"/>
  <c r="E77" i="1" s="1"/>
  <c r="E102" i="1" a="1"/>
  <c r="E102" i="1" s="1"/>
  <c r="E78" i="1" a="1"/>
  <c r="E78" i="1" s="1"/>
  <c r="D81" i="1"/>
  <c r="E73" i="1" a="1"/>
  <c r="E73" i="1" s="1"/>
  <c r="E151" i="1" a="1"/>
  <c r="E151" i="1" s="1"/>
  <c r="E148" i="1" a="1"/>
  <c r="E148" i="1" s="1"/>
  <c r="E118" i="1" a="1"/>
  <c r="E118" i="1" s="1"/>
  <c r="E42" i="1" a="1"/>
  <c r="E42" i="1" s="1"/>
  <c r="E98" i="1" a="1"/>
  <c r="E98" i="1" s="1"/>
  <c r="E47" i="1" a="1"/>
  <c r="E47" i="1" s="1"/>
  <c r="E109" i="1" a="1"/>
  <c r="E109" i="1" s="1"/>
  <c r="E52" i="1" a="1"/>
  <c r="E52" i="1" s="1"/>
  <c r="E72" i="1" a="1"/>
  <c r="E72" i="1" s="1"/>
  <c r="E59" i="1" a="1"/>
  <c r="E59" i="1" s="1"/>
  <c r="E135" i="1" a="1"/>
  <c r="E135" i="1" s="1"/>
  <c r="E71" i="1" a="1"/>
  <c r="E71" i="1" s="1"/>
  <c r="E112" i="1" a="1"/>
  <c r="E112" i="1" s="1"/>
  <c r="E83" i="1" a="1"/>
  <c r="E83" i="1" s="1"/>
  <c r="E137" i="1" a="1"/>
  <c r="E137" i="1" s="1"/>
  <c r="E142" i="1" a="1"/>
  <c r="E142" i="1" s="1"/>
  <c r="E68" i="1" a="1"/>
  <c r="E68" i="1" s="1"/>
  <c r="E34" i="4" l="1"/>
  <c r="G18" i="2"/>
  <c r="G19" i="2" a="1"/>
  <c r="G19" i="2" s="1"/>
  <c r="O6" i="5"/>
  <c r="E26" i="4"/>
  <c r="E27" i="4" s="1"/>
  <c r="E28" i="4" a="1"/>
  <c r="E28" i="4" s="1"/>
  <c r="E30" i="4" a="1"/>
  <c r="E30" i="4" s="1"/>
  <c r="E31" i="4" s="1"/>
  <c r="B22" i="4"/>
  <c r="C22" i="4"/>
  <c r="D22" i="4"/>
  <c r="M6" i="2"/>
  <c r="I12" i="2" s="1"/>
  <c r="H19" i="2"/>
  <c r="H16" i="2"/>
  <c r="H17" i="2"/>
  <c r="H15" i="2"/>
  <c r="F14" i="1"/>
  <c r="M5" i="1"/>
  <c r="M6" i="1" a="1"/>
  <c r="M6" i="1" s="1"/>
  <c r="G14" i="1"/>
  <c r="F15" i="1"/>
  <c r="E37" i="4" l="1" a="1"/>
  <c r="C13" i="2"/>
  <c r="F13" i="2"/>
  <c r="E27" i="2"/>
  <c r="E28" i="2" s="1"/>
  <c r="E29" i="2" s="1"/>
  <c r="I13" i="2"/>
  <c r="I15" i="2" a="1"/>
  <c r="I15" i="2" s="1"/>
  <c r="B12" i="2"/>
  <c r="E29" i="4"/>
  <c r="E18" i="4" s="1"/>
  <c r="E20" i="4"/>
  <c r="B13" i="2"/>
  <c r="F12" i="2"/>
  <c r="C12" i="2"/>
  <c r="C15" i="2" s="1" a="1"/>
  <c r="C17" i="2" s="1"/>
  <c r="I27" i="2"/>
  <c r="H18" i="2"/>
  <c r="F17" i="1"/>
  <c r="F18" i="1" a="1"/>
  <c r="F18" i="1" s="1"/>
  <c r="N14" i="1" a="1"/>
  <c r="G15" i="1"/>
  <c r="O7" i="1"/>
  <c r="O6" i="1" s="1"/>
  <c r="G16" i="1"/>
  <c r="E37" i="4" l="1"/>
  <c r="E39" i="4"/>
  <c r="E38" i="4"/>
  <c r="F15" i="2" a="1"/>
  <c r="F15" i="2" s="1"/>
  <c r="I17" i="2"/>
  <c r="I16" i="2"/>
  <c r="I18" i="2" s="1"/>
  <c r="B15" i="2" a="1"/>
  <c r="B15" i="2" s="1"/>
  <c r="B12" i="1"/>
  <c r="C15" i="2"/>
  <c r="C18" i="2" s="1"/>
  <c r="C16" i="2"/>
  <c r="I28" i="2"/>
  <c r="I30" i="2" s="1" a="1"/>
  <c r="E12" i="1"/>
  <c r="F20" i="2"/>
  <c r="F21" i="2" s="1"/>
  <c r="B11" i="1"/>
  <c r="B14" i="1" s="1" a="1"/>
  <c r="B16" i="1" s="1"/>
  <c r="N14" i="1"/>
  <c r="N16" i="1"/>
  <c r="N15" i="1"/>
  <c r="O4" i="1"/>
  <c r="E11" i="1"/>
  <c r="G17" i="1"/>
  <c r="G18" i="1" a="1"/>
  <c r="G18" i="1" s="1"/>
  <c r="G10" i="1" s="1"/>
  <c r="I12" i="1"/>
  <c r="O5" i="1"/>
  <c r="C12" i="1"/>
  <c r="H12" i="1"/>
  <c r="I11" i="1"/>
  <c r="F10" i="1"/>
  <c r="H11" i="1"/>
  <c r="C11" i="1"/>
  <c r="E41" i="4" l="1" a="1"/>
  <c r="E41" i="4" s="1"/>
  <c r="E42" i="4" s="1"/>
  <c r="E43" i="4" s="1"/>
  <c r="E40" i="4"/>
  <c r="F16" i="2"/>
  <c r="F19" i="2" s="1" a="1"/>
  <c r="F19" i="2" s="1"/>
  <c r="F17" i="2"/>
  <c r="C19" i="2" a="1"/>
  <c r="C19" i="2" s="1"/>
  <c r="B17" i="2"/>
  <c r="D17" i="2" s="1"/>
  <c r="B16" i="2"/>
  <c r="D16" i="2" s="1"/>
  <c r="D15" i="2"/>
  <c r="I30" i="2"/>
  <c r="I32" i="2"/>
  <c r="I31" i="2"/>
  <c r="I29" i="2"/>
  <c r="F18" i="2"/>
  <c r="B14" i="1"/>
  <c r="C14" i="1" a="1"/>
  <c r="C14" i="1" s="1"/>
  <c r="D14" i="1" s="1"/>
  <c r="B15" i="1"/>
  <c r="H14" i="1" a="1"/>
  <c r="H16" i="1" s="1"/>
  <c r="E14" i="1" a="1"/>
  <c r="G125" i="1"/>
  <c r="G40" i="1"/>
  <c r="G129" i="1"/>
  <c r="G147" i="1"/>
  <c r="G114" i="1"/>
  <c r="G120" i="1"/>
  <c r="G130" i="1"/>
  <c r="G154" i="1"/>
  <c r="G91" i="1"/>
  <c r="G85" i="1"/>
  <c r="G116" i="1"/>
  <c r="G94" i="1"/>
  <c r="G57" i="1"/>
  <c r="G137" i="1"/>
  <c r="G105" i="1"/>
  <c r="G38" i="1"/>
  <c r="G133" i="1"/>
  <c r="G148" i="1"/>
  <c r="G134" i="1"/>
  <c r="G97" i="1"/>
  <c r="G44" i="1"/>
  <c r="G73" i="1"/>
  <c r="G67" i="1"/>
  <c r="G53" i="1"/>
  <c r="G45" i="1"/>
  <c r="G149" i="1"/>
  <c r="G81" i="1"/>
  <c r="G123" i="1"/>
  <c r="G135" i="1"/>
  <c r="G72" i="1"/>
  <c r="G52" i="1"/>
  <c r="G153" i="1"/>
  <c r="G75" i="1"/>
  <c r="G127" i="1"/>
  <c r="G50" i="1"/>
  <c r="G55" i="1"/>
  <c r="G42" i="1"/>
  <c r="G96" i="1"/>
  <c r="G158" i="1"/>
  <c r="G131" i="1"/>
  <c r="G77" i="1"/>
  <c r="G144" i="1"/>
  <c r="G142" i="1"/>
  <c r="G139" i="1"/>
  <c r="G71" i="1"/>
  <c r="G128" i="1"/>
  <c r="G157" i="1"/>
  <c r="G121" i="1"/>
  <c r="G109" i="1"/>
  <c r="G117" i="1"/>
  <c r="G66" i="1"/>
  <c r="G143" i="1"/>
  <c r="G112" i="1"/>
  <c r="G89" i="1"/>
  <c r="G156" i="1"/>
  <c r="G82" i="1"/>
  <c r="G60" i="1"/>
  <c r="G87" i="1"/>
  <c r="G124" i="1"/>
  <c r="G150" i="1"/>
  <c r="G122" i="1"/>
  <c r="G151" i="1"/>
  <c r="G93" i="1"/>
  <c r="G141" i="1"/>
  <c r="G138" i="1"/>
  <c r="G74" i="1"/>
  <c r="G69" i="1"/>
  <c r="G92" i="1"/>
  <c r="G126" i="1"/>
  <c r="G62" i="1"/>
  <c r="G37" i="1"/>
  <c r="G59" i="1"/>
  <c r="G104" i="1"/>
  <c r="G61" i="1"/>
  <c r="G78" i="1"/>
  <c r="G108" i="1"/>
  <c r="G76" i="1"/>
  <c r="G159" i="1"/>
  <c r="G98" i="1"/>
  <c r="G90" i="1"/>
  <c r="G79" i="1"/>
  <c r="G99" i="1"/>
  <c r="G51" i="1"/>
  <c r="G68" i="1"/>
  <c r="G155" i="1"/>
  <c r="G48" i="1"/>
  <c r="G49" i="1"/>
  <c r="G70" i="1"/>
  <c r="G39" i="1"/>
  <c r="G118" i="1"/>
  <c r="G41" i="1"/>
  <c r="G102" i="1"/>
  <c r="G54" i="1"/>
  <c r="G161" i="1"/>
  <c r="G107" i="1"/>
  <c r="G58" i="1"/>
  <c r="G80" i="1"/>
  <c r="G64" i="1"/>
  <c r="G43" i="1"/>
  <c r="G145" i="1"/>
  <c r="G115" i="1"/>
  <c r="G119" i="1"/>
  <c r="G56" i="1"/>
  <c r="G140" i="1"/>
  <c r="G160" i="1"/>
  <c r="G152" i="1"/>
  <c r="G63" i="1"/>
  <c r="G46" i="1"/>
  <c r="G84" i="1"/>
  <c r="G65" i="1"/>
  <c r="G110" i="1"/>
  <c r="G101" i="1"/>
  <c r="G103" i="1"/>
  <c r="G100" i="1"/>
  <c r="G106" i="1"/>
  <c r="G113" i="1"/>
  <c r="G111" i="1"/>
  <c r="G83" i="1"/>
  <c r="G86" i="1"/>
  <c r="G132" i="1"/>
  <c r="G47" i="1"/>
  <c r="G95" i="1"/>
  <c r="G146" i="1"/>
  <c r="G136" i="1"/>
  <c r="G88" i="1"/>
  <c r="H23" i="1"/>
  <c r="Q15" i="1"/>
  <c r="I14" i="1" a="1"/>
  <c r="I14" i="1" s="1"/>
  <c r="Q16" i="1"/>
  <c r="Q14" i="1"/>
  <c r="N17" i="1" a="1"/>
  <c r="N17" i="1" s="1"/>
  <c r="O16" i="1" s="1"/>
  <c r="I23" i="1"/>
  <c r="G11" i="1"/>
  <c r="G12" i="1"/>
  <c r="F11" i="1"/>
  <c r="F12" i="1"/>
  <c r="D18" i="2" l="1"/>
  <c r="B18" i="2"/>
  <c r="B19" i="2" a="1"/>
  <c r="B19" i="2" s="1"/>
  <c r="E15" i="2" a="1"/>
  <c r="E15" i="2" s="1"/>
  <c r="Q17" i="1"/>
  <c r="B17" i="1"/>
  <c r="B18" i="1" a="1"/>
  <c r="B18" i="1" s="1"/>
  <c r="B19" i="1" s="1"/>
  <c r="B20" i="1" s="1"/>
  <c r="I15" i="1"/>
  <c r="H14" i="1"/>
  <c r="H15" i="1"/>
  <c r="C16" i="1"/>
  <c r="D16" i="1" s="1"/>
  <c r="C15" i="1"/>
  <c r="D15" i="1" s="1"/>
  <c r="R16" i="1"/>
  <c r="P16" i="1"/>
  <c r="S16" i="1" s="1"/>
  <c r="G23" i="1"/>
  <c r="O15" i="1"/>
  <c r="H24" i="1"/>
  <c r="H25" i="1"/>
  <c r="I16" i="1"/>
  <c r="O14" i="1"/>
  <c r="E15" i="1"/>
  <c r="E14" i="1"/>
  <c r="E16" i="1"/>
  <c r="I24" i="1"/>
  <c r="I25" i="1"/>
  <c r="F19" i="1"/>
  <c r="F20" i="1" s="1"/>
  <c r="G25" i="1"/>
  <c r="G24" i="1"/>
  <c r="G19" i="1"/>
  <c r="E16" i="2" l="1"/>
  <c r="E17" i="2"/>
  <c r="G27" i="1" a="1"/>
  <c r="G29" i="1" s="1"/>
  <c r="D17" i="1"/>
  <c r="H27" i="1" a="1"/>
  <c r="H29" i="1" s="1"/>
  <c r="I17" i="1"/>
  <c r="I18" i="1" a="1"/>
  <c r="I18" i="1" s="1"/>
  <c r="I19" i="1" s="1"/>
  <c r="I20" i="1" s="1"/>
  <c r="C18" i="1" a="1"/>
  <c r="C18" i="1" s="1"/>
  <c r="C19" i="1" s="1"/>
  <c r="C20" i="1" s="1"/>
  <c r="H18" i="1" a="1"/>
  <c r="H18" i="1" s="1"/>
  <c r="H19" i="1" s="1"/>
  <c r="H20" i="1" s="1"/>
  <c r="P14" i="1"/>
  <c r="S14" i="1" s="1"/>
  <c r="R14" i="1"/>
  <c r="E18" i="1" a="1"/>
  <c r="E18" i="1" s="1"/>
  <c r="E19" i="1" s="1"/>
  <c r="E20" i="1" s="1"/>
  <c r="E17" i="1"/>
  <c r="P15" i="1"/>
  <c r="S15" i="1" s="1"/>
  <c r="R15" i="1"/>
  <c r="I27" i="1" a="1"/>
  <c r="I29" i="1" s="1"/>
  <c r="G20" i="1"/>
  <c r="C17" i="1"/>
  <c r="H17" i="1"/>
  <c r="G28" i="1" l="1"/>
  <c r="G27" i="1"/>
  <c r="G30" i="1" s="1"/>
  <c r="H28" i="1"/>
  <c r="H27" i="1"/>
  <c r="H30" i="1" s="1"/>
  <c r="I27" i="1"/>
  <c r="I28" i="1"/>
  <c r="R17" i="1"/>
  <c r="S17" i="1"/>
  <c r="G31" i="1" l="1" a="1"/>
  <c r="G31" i="1" s="1"/>
  <c r="G32" i="1" s="1"/>
  <c r="G33" i="1" s="1"/>
  <c r="H31" i="1" a="1"/>
  <c r="H31" i="1" s="1"/>
  <c r="H32" i="1" s="1"/>
  <c r="H33" i="1" s="1"/>
  <c r="I30" i="1"/>
  <c r="I31" i="1" a="1"/>
  <c r="I31" i="1" s="1"/>
  <c r="I32" i="1" s="1"/>
  <c r="I33" i="1" s="1"/>
  <c r="K13" i="4"/>
  <c r="K12" i="4"/>
  <c r="E23" i="4" l="1"/>
  <c r="E24" i="4"/>
  <c r="D24" i="4" l="1"/>
  <c r="C24" i="4"/>
  <c r="B24" i="4"/>
  <c r="C23" i="4"/>
  <c r="B23" i="4"/>
  <c r="D23" i="4"/>
  <c r="D28" i="4" l="1" a="1"/>
  <c r="D28" i="4" s="1"/>
  <c r="D29" i="4" s="1"/>
  <c r="D25" i="4"/>
  <c r="D26" i="4"/>
  <c r="D30" i="4" a="1"/>
  <c r="D30" i="4" s="1"/>
  <c r="D31" i="4" s="1"/>
  <c r="C25" i="4"/>
  <c r="C27" i="4" s="1"/>
  <c r="C28" i="4" a="1"/>
  <c r="C28" i="4" s="1"/>
  <c r="C29" i="4" s="1"/>
  <c r="C26" i="4"/>
  <c r="C30" i="4" a="1"/>
  <c r="C30" i="4" s="1"/>
  <c r="C31" i="4" s="1"/>
  <c r="B28" i="4" a="1"/>
  <c r="B28" i="4" s="1"/>
  <c r="B29" i="4" s="1"/>
  <c r="B25" i="4"/>
  <c r="B26" i="4"/>
  <c r="B30" i="4" a="1"/>
  <c r="B30" i="4" s="1"/>
  <c r="B31" i="4" s="1"/>
  <c r="B27" i="4" l="1"/>
  <c r="D2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 Carlos Gomez Sala</author>
  </authors>
  <commentList>
    <comment ref="J3" authorId="0" shapeId="0" xr:uid="{F91D3D8C-3EF5-4D26-ADED-26262677B195}">
      <text>
        <r>
          <rPr>
            <b/>
            <sz val="9"/>
            <color indexed="81"/>
            <rFont val="Tahoma"/>
            <family val="2"/>
          </rPr>
          <t>Vector de pseudoponderaciones de la cartera mv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" authorId="0" shapeId="0" xr:uid="{DD382199-222A-49A5-A33B-9BECA29D0C9B}">
      <text>
        <r>
          <rPr>
            <b/>
            <sz val="9"/>
            <color indexed="81"/>
            <rFont val="Tahoma"/>
            <family val="2"/>
          </rPr>
          <t>Vector de pseudoponderaciones de la cartera d</t>
        </r>
      </text>
    </comment>
    <comment ref="H10" authorId="0" shapeId="0" xr:uid="{EBF1B19C-3D92-4372-8FE7-7623DB7DA2F8}">
      <text>
        <r>
          <rPr>
            <b/>
            <sz val="9"/>
            <color indexed="81"/>
            <rFont val="Tahoma"/>
            <family val="2"/>
          </rPr>
          <t>Cartera de menor riesgo y eficiente con Ep=0.08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" authorId="0" shapeId="0" xr:uid="{A9806229-307E-41BE-8E90-D38E47406308}">
      <text>
        <r>
          <rPr>
            <b/>
            <sz val="9"/>
            <color indexed="81"/>
            <rFont val="Tahoma"/>
            <family val="2"/>
          </rPr>
          <t>Valor de lambda_1, depende de Ep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 xr:uid="{FE3A80B2-9627-411F-87AB-AC19E93E11F8}">
      <text>
        <r>
          <rPr>
            <b/>
            <sz val="9"/>
            <color indexed="81"/>
            <rFont val="Tahoma"/>
            <family val="2"/>
          </rPr>
          <t>Valor de lambda_2 depende de Ep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69C69868-6606-4C3C-B73E-8FBA9BE3D68E}">
      <text>
        <r>
          <rPr>
            <b/>
            <sz val="9"/>
            <color indexed="81"/>
            <rFont val="Tahoma"/>
            <family val="2"/>
          </rPr>
          <t>Vector g (Cartera de menor varianza con Ep=0)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0" shapeId="0" xr:uid="{157A67E1-9C25-44FE-AF66-C85F21389771}">
      <text>
        <r>
          <rPr>
            <b/>
            <sz val="9"/>
            <color indexed="81"/>
            <rFont val="Tahoma"/>
            <family val="2"/>
          </rPr>
          <t>Cartera de menor varianza con Ep=1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3" authorId="0" shapeId="0" xr:uid="{F11EF11D-38CD-45FD-A841-E8D9186CEB76}">
      <text>
        <r>
          <rPr>
            <sz val="9"/>
            <color indexed="81"/>
            <rFont val="Tahoma"/>
            <family val="2"/>
          </rPr>
          <t>Vector</t>
        </r>
        <r>
          <rPr>
            <b/>
            <sz val="9"/>
            <color indexed="81"/>
            <rFont val="Tahoma"/>
            <family val="2"/>
          </rPr>
          <t xml:space="preserve"> h</t>
        </r>
        <r>
          <rPr>
            <sz val="9"/>
            <color indexed="81"/>
            <rFont val="Tahoma"/>
            <family val="2"/>
          </rPr>
          <t xml:space="preserve">, de las ponderaciones
</t>
        </r>
        <r>
          <rPr>
            <b/>
            <sz val="9"/>
            <color indexed="81"/>
            <rFont val="Tahoma"/>
            <family val="2"/>
          </rPr>
          <t xml:space="preserve">
w = h*Ep + 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" authorId="0" shapeId="0" xr:uid="{3C3BF732-03F3-4332-A71F-4F8544149829}">
      <text>
        <r>
          <rPr>
            <b/>
            <sz val="9"/>
            <color indexed="81"/>
            <rFont val="Tahoma"/>
            <family val="2"/>
          </rPr>
          <t>Cartera de composicion dada, del problema 2, apartado 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3" authorId="0" shapeId="0" xr:uid="{38187E9F-1BCA-4B7F-AF9C-BECEBAEC6462}">
      <text>
        <r>
          <rPr>
            <b/>
            <sz val="9"/>
            <color indexed="81"/>
            <rFont val="Tahoma"/>
            <family val="2"/>
          </rPr>
          <t>Contribucion marginal al riesgo cuando el riesgo de la cartera esta medido en varianza</t>
        </r>
      </text>
    </comment>
    <comment ref="O13" authorId="0" shapeId="0" xr:uid="{699851CE-B966-4A34-AEB4-264068DDDFF6}">
      <text>
        <r>
          <rPr>
            <b/>
            <sz val="9"/>
            <color indexed="81"/>
            <rFont val="Tahoma"/>
            <family val="2"/>
          </rPr>
          <t>Contribucion marginal al riesgo cuando el riesgo de la cartera esta medido en volatilidad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3" authorId="0" shapeId="0" xr:uid="{71433EBC-F16A-4F15-90AC-710902A5FD36}">
      <text>
        <r>
          <rPr>
            <b/>
            <sz val="9"/>
            <color indexed="81"/>
            <rFont val="Tahoma"/>
            <family val="2"/>
          </rPr>
          <t>Contribucion marginal normalizada al riesgo, tambien denominada beta(i,p)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" authorId="0" shapeId="0" xr:uid="{3D8C7753-3E9D-4EBD-AA94-D5BD330E9246}">
      <text>
        <r>
          <rPr>
            <b/>
            <sz val="9"/>
            <color indexed="81"/>
            <rFont val="Tahoma"/>
            <family val="2"/>
          </rPr>
          <t xml:space="preserve">Cartera autofinanciada, con ponderaciones que suman cero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9" authorId="0" shapeId="0" xr:uid="{AA9A3F02-CDDA-4A1F-B569-E98BD1166CF7}">
      <text>
        <r>
          <rPr>
            <b/>
            <sz val="9"/>
            <color indexed="81"/>
            <rFont val="Tahoma"/>
            <family val="2"/>
          </rPr>
          <t>En las carteras de menor varianza, 
S2p = lambda_1*Ep + lambda_2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00181939-127B-4509-B970-2BC20BE2D205}">
      <text>
        <r>
          <rPr>
            <b/>
            <sz val="9"/>
            <color indexed="81"/>
            <rFont val="Tahoma"/>
            <family val="2"/>
          </rPr>
          <t>O tambien 1/C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9" authorId="0" shapeId="0" xr:uid="{2553513D-EC61-4FE9-90F5-BF0EF006B4BB}">
      <text>
        <r>
          <rPr>
            <b/>
            <sz val="9"/>
            <color indexed="81"/>
            <rFont val="Tahoma"/>
            <family val="2"/>
          </rPr>
          <t>No es de menor riesgo, porque existe otra cartera de menor riesgo con igual rentabilidad esperada y menor volatilidad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2" authorId="0" shapeId="0" xr:uid="{642922DC-74D8-4953-90C9-7A47A5C273E4}">
      <text>
        <r>
          <rPr>
            <b/>
            <sz val="9"/>
            <color indexed="81"/>
            <rFont val="Tahoma"/>
            <family val="2"/>
          </rPr>
          <t>Cartera z de menor varianza e ineficiente, ORTOGONAL  a la cartera eficiente 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2" authorId="0" shapeId="0" xr:uid="{FBF030B9-35AD-4847-AEB7-1EA436418382}">
      <text>
        <r>
          <rPr>
            <b/>
            <sz val="9"/>
            <color indexed="81"/>
            <rFont val="Tahoma"/>
            <family val="2"/>
          </rPr>
          <t>Cartera z de menor varianza e ineficiente, ortogonal a la cartera eficiente p1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3" authorId="0" shapeId="0" xr:uid="{931E508D-C94B-4225-9501-10F6BAB97DF4}">
      <text>
        <r>
          <rPr>
            <b/>
            <sz val="9"/>
            <color indexed="81"/>
            <rFont val="Tahoma"/>
            <family val="2"/>
          </rPr>
          <t>Ez = -lambda_2(Ep)/lambda_1(Ep)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 xr:uid="{0B60BF95-C81D-46CB-B8A9-992764393BB5}">
      <text>
        <r>
          <rPr>
            <sz val="9"/>
            <color indexed="81"/>
            <rFont val="Tahoma"/>
            <family val="2"/>
          </rPr>
          <t xml:space="preserve">Lambda_1 en funcion de Ez
</t>
        </r>
      </text>
    </comment>
    <comment ref="E36" authorId="0" shapeId="0" xr:uid="{CB55383B-44AD-408E-85F4-DD968769EA7B}">
      <text>
        <r>
          <rPr>
            <sz val="9"/>
            <color indexed="81"/>
            <rFont val="Tahoma"/>
            <family val="2"/>
          </rPr>
          <t xml:space="preserve">Riesgo (volatilidad) de las carteras del Conjunto de Oportunidades de Inversion y rentabilidad esperada igual a Ep
</t>
        </r>
      </text>
    </comment>
    <comment ref="G36" authorId="0" shapeId="0" xr:uid="{BC520554-255B-4AB3-9602-C87AC6175327}">
      <text>
        <r>
          <rPr>
            <b/>
            <sz val="9"/>
            <color indexed="81"/>
            <rFont val="Tahoma"/>
            <family val="2"/>
          </rPr>
          <t xml:space="preserve">Riesgo (volatilidad) de las carteras de la Curva de Carteras de Menor o Minimo Riesgo. 
Si, ademas E(p) &gt; E(mv) las carteras son Eficientes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 Carlos Gomez Sala</author>
  </authors>
  <commentList>
    <comment ref="A12" authorId="0" shapeId="0" xr:uid="{5E7AFD64-FCEE-4498-961A-1CDAE6DB5A58}">
      <text>
        <r>
          <rPr>
            <b/>
            <sz val="9"/>
            <color indexed="81"/>
            <rFont val="Tahoma"/>
            <family val="2"/>
          </rPr>
          <t>Valor de lambda_1, depende de Ep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 xr:uid="{AA3BD308-8CCC-430A-8372-A78DD77245E6}">
      <text>
        <r>
          <rPr>
            <b/>
            <sz val="9"/>
            <color indexed="81"/>
            <rFont val="Tahoma"/>
            <family val="2"/>
          </rPr>
          <t>Valor de lambda_2 depende de Ep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89429A19-A149-4762-B624-496985F51565}">
      <text>
        <r>
          <rPr>
            <b/>
            <sz val="9"/>
            <color indexed="81"/>
            <rFont val="Tahoma"/>
            <family val="2"/>
          </rPr>
          <t>En las carteras de menor varianza, 
S2p = lambda_1*Ep + lambda_2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 Carlos Gomez Sala</author>
  </authors>
  <commentList>
    <comment ref="J3" authorId="0" shapeId="0" xr:uid="{D3512D0C-445C-42EF-9729-50DE3F81AE5D}">
      <text>
        <r>
          <rPr>
            <b/>
            <sz val="9"/>
            <color indexed="81"/>
            <rFont val="Tahoma"/>
            <family val="2"/>
          </rPr>
          <t>Vector de pseudoponderaciones de la cartera mv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" authorId="0" shapeId="0" xr:uid="{6117E475-16EF-4568-8B82-5ACC88DAE1DB}">
      <text>
        <r>
          <rPr>
            <b/>
            <sz val="9"/>
            <color indexed="81"/>
            <rFont val="Tahoma"/>
            <family val="2"/>
          </rPr>
          <t>Vector de pseudoponderaciones de la cartera 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<sst xmlns="http://schemas.openxmlformats.org/spreadsheetml/2006/main" count="403" uniqueCount="114">
  <si>
    <t>PROBLEMA 2</t>
  </si>
  <si>
    <t>Activos</t>
  </si>
  <si>
    <t>E</t>
  </si>
  <si>
    <t>V</t>
  </si>
  <si>
    <t>1n</t>
  </si>
  <si>
    <t>V^-1</t>
  </si>
  <si>
    <t>V^-1 1n</t>
  </si>
  <si>
    <t>V^-1 E</t>
  </si>
  <si>
    <t>lambda_1</t>
  </si>
  <si>
    <t>lambda_2</t>
  </si>
  <si>
    <t>C</t>
  </si>
  <si>
    <t>C/D</t>
  </si>
  <si>
    <t>B</t>
  </si>
  <si>
    <t>B/D</t>
  </si>
  <si>
    <t>A</t>
  </si>
  <si>
    <t>A/D</t>
  </si>
  <si>
    <t>D</t>
  </si>
  <si>
    <t>w1</t>
  </si>
  <si>
    <t>w2</t>
  </si>
  <si>
    <t>w3</t>
  </si>
  <si>
    <t>suma</t>
  </si>
  <si>
    <t>Sp</t>
  </si>
  <si>
    <t>Ep</t>
  </si>
  <si>
    <t>S2p</t>
  </si>
  <si>
    <t>g</t>
  </si>
  <si>
    <t>g+h</t>
  </si>
  <si>
    <t>mv</t>
  </si>
  <si>
    <t>d</t>
  </si>
  <si>
    <t>p1</t>
  </si>
  <si>
    <t>p2</t>
  </si>
  <si>
    <t>p0</t>
  </si>
  <si>
    <t>Eficiente</t>
  </si>
  <si>
    <t>Ineficiente</t>
  </si>
  <si>
    <t>E_z(d)</t>
  </si>
  <si>
    <t>E_z(p1)</t>
  </si>
  <si>
    <t>E_z(p2)</t>
  </si>
  <si>
    <t>w(zd)</t>
  </si>
  <si>
    <t>w(zp1)</t>
  </si>
  <si>
    <t>w(zp2)</t>
  </si>
  <si>
    <t>Ez</t>
  </si>
  <si>
    <t>S2z</t>
  </si>
  <si>
    <t>Sz</t>
  </si>
  <si>
    <t>Generacion del Conjunto de Oportunidades de Inversion</t>
  </si>
  <si>
    <t>Carteras de menor o minima varianza</t>
  </si>
  <si>
    <t>Carteras ortogonales a las carteras eficientes</t>
  </si>
  <si>
    <t>Vw</t>
  </si>
  <si>
    <t>CMR(i,p)</t>
  </si>
  <si>
    <t>CMNR(i,p)</t>
  </si>
  <si>
    <t>Contribucion Marginal</t>
  </si>
  <si>
    <t>Contribucion total</t>
  </si>
  <si>
    <t>CTR(i,p)</t>
  </si>
  <si>
    <t>CTNR(i,p)</t>
  </si>
  <si>
    <t>CT(S2p)</t>
  </si>
  <si>
    <t>Sp(CCMR)</t>
  </si>
  <si>
    <t>h</t>
  </si>
  <si>
    <t xml:space="preserve"> p(dada)</t>
  </si>
  <si>
    <t>Constantes</t>
  </si>
  <si>
    <t>Problema 3</t>
  </si>
  <si>
    <t>Activo 1</t>
  </si>
  <si>
    <t>Activo 2</t>
  </si>
  <si>
    <t>Activo 3</t>
  </si>
  <si>
    <t>V^-1E</t>
  </si>
  <si>
    <t>p</t>
  </si>
  <si>
    <t>Teorema de  fondos</t>
  </si>
  <si>
    <t>x</t>
  </si>
  <si>
    <t>1-x</t>
  </si>
  <si>
    <t>q</t>
  </si>
  <si>
    <t>Problema 4</t>
  </si>
  <si>
    <t>AA1</t>
  </si>
  <si>
    <t>AA2</t>
  </si>
  <si>
    <t>ALR</t>
  </si>
  <si>
    <t>(E - Rf*1n)</t>
  </si>
  <si>
    <t>V^1</t>
  </si>
  <si>
    <t>H</t>
  </si>
  <si>
    <t>V^-1(E-Rf*1n)</t>
  </si>
  <si>
    <t>v</t>
  </si>
  <si>
    <t>T</t>
  </si>
  <si>
    <t>w(1T)</t>
  </si>
  <si>
    <t>w(2,T)</t>
  </si>
  <si>
    <t>ALR  (Rf)</t>
  </si>
  <si>
    <t xml:space="preserve"> (E-Rf 1n)</t>
  </si>
  <si>
    <t>V^-1(E - Rf 1n)</t>
  </si>
  <si>
    <t>raiz(H)</t>
  </si>
  <si>
    <t>Activos Arriesgados mas Activo Libre de Riesgo (Método General)</t>
  </si>
  <si>
    <t>Activos Arriesgados (Método General)</t>
  </si>
  <si>
    <t>Carteras de Menor o minima varianza</t>
  </si>
  <si>
    <t>Ep-Rf</t>
  </si>
  <si>
    <t>w</t>
  </si>
  <si>
    <t>w1+w2+w3</t>
  </si>
  <si>
    <t>w(ALR)</t>
  </si>
  <si>
    <t>1'n (V^-1(E - Rf 1n)) =</t>
  </si>
  <si>
    <t>w(T)</t>
  </si>
  <si>
    <t xml:space="preserve">Ep </t>
  </si>
  <si>
    <t>ET - Rf</t>
  </si>
  <si>
    <t>ET</t>
  </si>
  <si>
    <t>Ep - Rf</t>
  </si>
  <si>
    <t>z(T)</t>
  </si>
  <si>
    <t>lambda:2</t>
  </si>
  <si>
    <t>w(zT)</t>
  </si>
  <si>
    <t>Cartera z Ortogonal a T</t>
  </si>
  <si>
    <t>Conjunto de Oportunidades de Inversion</t>
  </si>
  <si>
    <t>S2T</t>
  </si>
  <si>
    <t>ST</t>
  </si>
  <si>
    <t>Problema 5 (con datos del Problema 3)</t>
  </si>
  <si>
    <t>1/H</t>
  </si>
  <si>
    <t>Eq</t>
  </si>
  <si>
    <t>PROBLEMA 6 (datos del problema 2)</t>
  </si>
  <si>
    <t>w(1,z)</t>
  </si>
  <si>
    <t>w(2,z)</t>
  </si>
  <si>
    <t>w(3,z)</t>
  </si>
  <si>
    <t>Carteras de Menor o minima varianza de todos los activos (Metodo General)</t>
  </si>
  <si>
    <t>Carteras de menor varianza o menor riesgo (Teorema de un fondo)</t>
  </si>
  <si>
    <t>(1-x)</t>
  </si>
  <si>
    <t xml:space="preserve">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</si>
</sst>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"/>
    <numFmt numFmtId="166" formatCode="0.000000"/>
    <numFmt numFmtId="167" formatCode="0.0000000"/>
    <numFmt numFmtId="168" formatCode="0.000"/>
  </numFmts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D6E3B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164" fontId="0" fillId="0" borderId="0" xfId="0" applyNumberFormat="1"/>
    <xf numFmtId="0" fontId="0" fillId="5" borderId="0" xfId="0" applyFill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9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7" borderId="0" xfId="0" applyFill="1"/>
    <xf numFmtId="0" fontId="0" fillId="8" borderId="0" xfId="0" applyFill="1"/>
    <xf numFmtId="164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0" fontId="9" fillId="8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5" fontId="10" fillId="6" borderId="0" xfId="0" applyNumberFormat="1" applyFont="1" applyFill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165" fontId="0" fillId="0" borderId="9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166" fontId="9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1" fillId="0" borderId="0" xfId="0" applyNumberFormat="1" applyFont="1"/>
    <xf numFmtId="0" fontId="0" fillId="9" borderId="0" xfId="0" applyFill="1"/>
    <xf numFmtId="165" fontId="0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5" fontId="0" fillId="8" borderId="0" xfId="0" applyNumberFormat="1" applyFill="1"/>
    <xf numFmtId="165" fontId="0" fillId="0" borderId="0" xfId="0" applyNumberFormat="1" applyFont="1"/>
    <xf numFmtId="164" fontId="0" fillId="0" borderId="0" xfId="0" applyNumberFormat="1" applyFont="1"/>
    <xf numFmtId="165" fontId="2" fillId="0" borderId="0" xfId="0" applyNumberFormat="1" applyFont="1"/>
    <xf numFmtId="164" fontId="0" fillId="0" borderId="0" xfId="0" applyNumberFormat="1" applyFont="1" applyAlignment="1"/>
    <xf numFmtId="164" fontId="0" fillId="5" borderId="0" xfId="0" applyNumberFormat="1" applyFont="1" applyFill="1" applyAlignment="1"/>
    <xf numFmtId="164" fontId="2" fillId="5" borderId="0" xfId="0" applyNumberFormat="1" applyFont="1" applyFill="1"/>
    <xf numFmtId="0" fontId="3" fillId="0" borderId="1" xfId="0" applyFont="1" applyBorder="1" applyAlignment="1">
      <alignment horizontal="center"/>
    </xf>
    <xf numFmtId="0" fontId="1" fillId="8" borderId="0" xfId="0" applyFont="1" applyFill="1"/>
    <xf numFmtId="2" fontId="0" fillId="7" borderId="0" xfId="0" applyNumberFormat="1" applyFill="1"/>
    <xf numFmtId="164" fontId="0" fillId="5" borderId="0" xfId="0" applyNumberFormat="1" applyFill="1"/>
    <xf numFmtId="0" fontId="14" fillId="0" borderId="0" xfId="0" applyFont="1"/>
    <xf numFmtId="0" fontId="2" fillId="0" borderId="0" xfId="0" applyFont="1" applyAlignment="1">
      <alignment horizontal="right"/>
    </xf>
    <xf numFmtId="167" fontId="0" fillId="0" borderId="0" xfId="0" applyNumberFormat="1"/>
    <xf numFmtId="0" fontId="15" fillId="0" borderId="0" xfId="0" applyFont="1"/>
    <xf numFmtId="0" fontId="11" fillId="0" borderId="0" xfId="0" applyFont="1" applyAlignment="1">
      <alignment horizontal="center"/>
    </xf>
    <xf numFmtId="0" fontId="0" fillId="10" borderId="0" xfId="0" applyFill="1"/>
    <xf numFmtId="165" fontId="10" fillId="11" borderId="0" xfId="0" applyNumberFormat="1" applyFont="1" applyFill="1"/>
    <xf numFmtId="166" fontId="0" fillId="8" borderId="0" xfId="0" applyNumberFormat="1" applyFill="1"/>
    <xf numFmtId="168" fontId="0" fillId="0" borderId="0" xfId="0" applyNumberForma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/>
    <xf numFmtId="0" fontId="0" fillId="5" borderId="0" xfId="0" applyFill="1"/>
    <xf numFmtId="0" fontId="1" fillId="5" borderId="0" xfId="0" applyFont="1" applyFill="1"/>
    <xf numFmtId="165" fontId="0" fillId="5" borderId="0" xfId="0" applyNumberFormat="1" applyFill="1"/>
    <xf numFmtId="0" fontId="2" fillId="0" borderId="0" xfId="0" applyFont="1" applyAlignment="1"/>
    <xf numFmtId="0" fontId="0" fillId="7" borderId="0" xfId="0" applyFill="1" applyAlignment="1"/>
    <xf numFmtId="0" fontId="16" fillId="0" borderId="0" xfId="0" applyFont="1" applyAlignment="1">
      <alignment horizontal="center"/>
    </xf>
    <xf numFmtId="0" fontId="17" fillId="0" borderId="0" xfId="0" applyFont="1"/>
    <xf numFmtId="0" fontId="17" fillId="5" borderId="0" xfId="0" applyFont="1" applyFill="1"/>
    <xf numFmtId="166" fontId="17" fillId="8" borderId="0" xfId="0" applyNumberFormat="1" applyFont="1" applyFill="1"/>
    <xf numFmtId="165" fontId="17" fillId="8" borderId="0" xfId="0" applyNumberFormat="1" applyFont="1" applyFill="1"/>
    <xf numFmtId="166" fontId="17" fillId="0" borderId="0" xfId="0" applyNumberFormat="1" applyFont="1"/>
    <xf numFmtId="168" fontId="17" fillId="0" borderId="0" xfId="0" applyNumberFormat="1" applyFont="1"/>
    <xf numFmtId="0" fontId="17" fillId="0" borderId="0" xfId="0" applyFont="1" applyFill="1"/>
    <xf numFmtId="0" fontId="16" fillId="0" borderId="0" xfId="0" applyFont="1" applyFill="1" applyAlignment="1">
      <alignment horizontal="center"/>
    </xf>
    <xf numFmtId="0" fontId="18" fillId="0" borderId="0" xfId="0" applyFont="1"/>
    <xf numFmtId="164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-valenci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Conjunto Oportunidades Inversion,</a:t>
            </a:r>
            <a:r>
              <a:rPr lang="en-US" baseline="0"/>
              <a:t> CCMR y FE</a:t>
            </a:r>
            <a:endParaRPr lang="en-US"/>
          </a:p>
        </c:rich>
      </c:tx>
      <c:layout>
        <c:manualLayout>
          <c:xMode val="edge"/>
          <c:yMode val="edge"/>
          <c:x val="0.35854341109747756"/>
          <c:y val="3.7862507745864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0898677463319487E-2"/>
          <c:y val="9.8585441334976848E-2"/>
          <c:w val="0.90364546904288956"/>
          <c:h val="0.80247439414570021"/>
        </c:manualLayout>
      </c:layout>
      <c:scatterChart>
        <c:scatterStyle val="lineMarker"/>
        <c:varyColors val="0"/>
        <c:ser>
          <c:idx val="0"/>
          <c:order val="0"/>
          <c:tx>
            <c:v>COI</c:v>
          </c:tx>
          <c:spPr>
            <a:ln w="19050" cap="rnd">
              <a:noFill/>
              <a:round/>
            </a:ln>
            <a:effectLst/>
          </c:spPr>
          <c:marker>
            <c:symbol val="plus"/>
            <c:size val="7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Problema_2!$E$37:$E$161</c:f>
              <c:numCache>
                <c:formatCode>0.0000</c:formatCode>
                <c:ptCount val="125"/>
                <c:pt idx="0">
                  <c:v>0.14262932670011014</c:v>
                </c:pt>
                <c:pt idx="1">
                  <c:v>0.11819936456053427</c:v>
                </c:pt>
                <c:pt idx="2">
                  <c:v>0.11854611044398107</c:v>
                </c:pt>
                <c:pt idx="3">
                  <c:v>0.11383605272168769</c:v>
                </c:pt>
                <c:pt idx="4">
                  <c:v>0.10451340201254848</c:v>
                </c:pt>
                <c:pt idx="5">
                  <c:v>8.3012203838485926E-2</c:v>
                </c:pt>
                <c:pt idx="6">
                  <c:v>8.3161010513583461E-2</c:v>
                </c:pt>
                <c:pt idx="7">
                  <c:v>8.2841406702182624E-2</c:v>
                </c:pt>
                <c:pt idx="8">
                  <c:v>0.12065088820757121</c:v>
                </c:pt>
                <c:pt idx="9">
                  <c:v>0.11965236677118114</c:v>
                </c:pt>
                <c:pt idx="10">
                  <c:v>9.954675519510843E-2</c:v>
                </c:pt>
                <c:pt idx="11">
                  <c:v>7.8210603469437229E-2</c:v>
                </c:pt>
                <c:pt idx="12">
                  <c:v>8.3036803769074297E-2</c:v>
                </c:pt>
                <c:pt idx="13">
                  <c:v>0.14098414449156427</c:v>
                </c:pt>
                <c:pt idx="14">
                  <c:v>7.7670793994429888E-2</c:v>
                </c:pt>
                <c:pt idx="15">
                  <c:v>7.761031614599731E-2</c:v>
                </c:pt>
                <c:pt idx="16">
                  <c:v>0.10741564705370782</c:v>
                </c:pt>
                <c:pt idx="17">
                  <c:v>8.7314066665533957E-2</c:v>
                </c:pt>
                <c:pt idx="18">
                  <c:v>0.14367869523177371</c:v>
                </c:pt>
                <c:pt idx="19">
                  <c:v>9.5624236518052311E-2</c:v>
                </c:pt>
                <c:pt idx="20">
                  <c:v>0.15485549372261692</c:v>
                </c:pt>
                <c:pt idx="21">
                  <c:v>0.16930734982076681</c:v>
                </c:pt>
                <c:pt idx="22">
                  <c:v>0.11418213282719686</c:v>
                </c:pt>
                <c:pt idx="23">
                  <c:v>0.11349780329939214</c:v>
                </c:pt>
                <c:pt idx="24">
                  <c:v>0.16470344053119537</c:v>
                </c:pt>
                <c:pt idx="25">
                  <c:v>0.11214572520787587</c:v>
                </c:pt>
                <c:pt idx="26">
                  <c:v>7.6825905346322457E-2</c:v>
                </c:pt>
                <c:pt idx="27">
                  <c:v>8.6018713111892478E-2</c:v>
                </c:pt>
                <c:pt idx="28">
                  <c:v>0.18369354721943204</c:v>
                </c:pt>
                <c:pt idx="29">
                  <c:v>0.1410385705329909</c:v>
                </c:pt>
                <c:pt idx="30">
                  <c:v>0.1866881039616482</c:v>
                </c:pt>
                <c:pt idx="31">
                  <c:v>0.10249916612380605</c:v>
                </c:pt>
                <c:pt idx="32">
                  <c:v>7.9652930656234827E-2</c:v>
                </c:pt>
                <c:pt idx="33">
                  <c:v>8.3707201911035908E-2</c:v>
                </c:pt>
                <c:pt idx="34">
                  <c:v>0.16584632679417571</c:v>
                </c:pt>
                <c:pt idx="35">
                  <c:v>0.11844682587725791</c:v>
                </c:pt>
                <c:pt idx="36">
                  <c:v>9.1621101479347739E-2</c:v>
                </c:pt>
                <c:pt idx="37">
                  <c:v>0.13673985690628518</c:v>
                </c:pt>
                <c:pt idx="38">
                  <c:v>9.7073905500689409E-2</c:v>
                </c:pt>
                <c:pt idx="39">
                  <c:v>0.1864343643238088</c:v>
                </c:pt>
                <c:pt idx="40">
                  <c:v>8.1760170852537242E-2</c:v>
                </c:pt>
                <c:pt idx="41">
                  <c:v>0.12999418310073235</c:v>
                </c:pt>
                <c:pt idx="42">
                  <c:v>0.20577454073101639</c:v>
                </c:pt>
                <c:pt idx="43">
                  <c:v>0.10887511072484478</c:v>
                </c:pt>
                <c:pt idx="44">
                  <c:v>0.12219502435588284</c:v>
                </c:pt>
                <c:pt idx="45">
                  <c:v>9.3495046657022476E-2</c:v>
                </c:pt>
                <c:pt idx="46">
                  <c:v>0.20355262624059356</c:v>
                </c:pt>
                <c:pt idx="47">
                  <c:v>0.15099259235681864</c:v>
                </c:pt>
                <c:pt idx="48">
                  <c:v>0.16125406616313756</c:v>
                </c:pt>
                <c:pt idx="49">
                  <c:v>0.13056075069140835</c:v>
                </c:pt>
                <c:pt idx="50">
                  <c:v>0.21931502498854311</c:v>
                </c:pt>
                <c:pt idx="51">
                  <c:v>9.516002093570361E-2</c:v>
                </c:pt>
                <c:pt idx="52">
                  <c:v>0.11577882426411545</c:v>
                </c:pt>
                <c:pt idx="53">
                  <c:v>0.10122855071806369</c:v>
                </c:pt>
                <c:pt idx="54">
                  <c:v>0.16415022782728481</c:v>
                </c:pt>
                <c:pt idx="55">
                  <c:v>0.10069061916304083</c:v>
                </c:pt>
                <c:pt idx="56">
                  <c:v>0.12850945512474576</c:v>
                </c:pt>
                <c:pt idx="57">
                  <c:v>0.15679788756188925</c:v>
                </c:pt>
                <c:pt idx="58">
                  <c:v>0.1557185695181306</c:v>
                </c:pt>
                <c:pt idx="59">
                  <c:v>0.1516078041442171</c:v>
                </c:pt>
                <c:pt idx="60">
                  <c:v>0.19014963780345703</c:v>
                </c:pt>
                <c:pt idx="61">
                  <c:v>9.8982800813299993E-2</c:v>
                </c:pt>
                <c:pt idx="62">
                  <c:v>9.9894274476138842E-2</c:v>
                </c:pt>
                <c:pt idx="63">
                  <c:v>0.116045277347464</c:v>
                </c:pt>
                <c:pt idx="64">
                  <c:v>0.14388108866365446</c:v>
                </c:pt>
                <c:pt idx="65">
                  <c:v>0.15006437710282006</c:v>
                </c:pt>
                <c:pt idx="66">
                  <c:v>0.21362435205393132</c:v>
                </c:pt>
                <c:pt idx="67">
                  <c:v>0.20249750767970467</c:v>
                </c:pt>
                <c:pt idx="68">
                  <c:v>0.18878187205449753</c:v>
                </c:pt>
                <c:pt idx="69">
                  <c:v>0.15017579466762024</c:v>
                </c:pt>
                <c:pt idx="70">
                  <c:v>0.10261625129131952</c:v>
                </c:pt>
                <c:pt idx="71">
                  <c:v>0.10672759784082853</c:v>
                </c:pt>
                <c:pt idx="72">
                  <c:v>0.16839407753983196</c:v>
                </c:pt>
                <c:pt idx="73">
                  <c:v>0.15858760663408369</c:v>
                </c:pt>
                <c:pt idx="74">
                  <c:v>0.117959142552753</c:v>
                </c:pt>
                <c:pt idx="75">
                  <c:v>0.24740265735802072</c:v>
                </c:pt>
                <c:pt idx="76">
                  <c:v>0.11023493063571931</c:v>
                </c:pt>
                <c:pt idx="77">
                  <c:v>0.13716683068050636</c:v>
                </c:pt>
                <c:pt idx="78">
                  <c:v>0.12400433109728753</c:v>
                </c:pt>
                <c:pt idx="79">
                  <c:v>0.25522197752915854</c:v>
                </c:pt>
                <c:pt idx="80">
                  <c:v>0.16626603505198573</c:v>
                </c:pt>
                <c:pt idx="81">
                  <c:v>0.15843551946538784</c:v>
                </c:pt>
                <c:pt idx="82">
                  <c:v>0.11373595316245777</c:v>
                </c:pt>
                <c:pt idx="83">
                  <c:v>0.21235210867642582</c:v>
                </c:pt>
                <c:pt idx="84">
                  <c:v>0.12083019042317186</c:v>
                </c:pt>
                <c:pt idx="85">
                  <c:v>0.12880018028002552</c:v>
                </c:pt>
                <c:pt idx="86">
                  <c:v>0.27008251986940052</c:v>
                </c:pt>
                <c:pt idx="87">
                  <c:v>0.25263127351198389</c:v>
                </c:pt>
                <c:pt idx="88">
                  <c:v>0.13316655490347978</c:v>
                </c:pt>
                <c:pt idx="89">
                  <c:v>0.21254885569711121</c:v>
                </c:pt>
                <c:pt idx="90">
                  <c:v>0.15181371904904067</c:v>
                </c:pt>
                <c:pt idx="91">
                  <c:v>0.16906967626342628</c:v>
                </c:pt>
                <c:pt idx="92">
                  <c:v>0.25500512799556085</c:v>
                </c:pt>
                <c:pt idx="93">
                  <c:v>0.13331656280895943</c:v>
                </c:pt>
                <c:pt idx="94">
                  <c:v>0.13590222862962195</c:v>
                </c:pt>
                <c:pt idx="95">
                  <c:v>0.17792796184311954</c:v>
                </c:pt>
                <c:pt idx="96">
                  <c:v>0.13332789785131458</c:v>
                </c:pt>
                <c:pt idx="97">
                  <c:v>0.23610236899782286</c:v>
                </c:pt>
                <c:pt idx="98">
                  <c:v>0.13414428096813794</c:v>
                </c:pt>
                <c:pt idx="99">
                  <c:v>0.24913564079196965</c:v>
                </c:pt>
                <c:pt idx="100">
                  <c:v>0.15449745520195876</c:v>
                </c:pt>
                <c:pt idx="101">
                  <c:v>0.2430692084541396</c:v>
                </c:pt>
                <c:pt idx="102">
                  <c:v>0.15151485123906741</c:v>
                </c:pt>
                <c:pt idx="103">
                  <c:v>0.2047902340973819</c:v>
                </c:pt>
                <c:pt idx="104">
                  <c:v>0.15222060708095092</c:v>
                </c:pt>
                <c:pt idx="105">
                  <c:v>0.15565705562171553</c:v>
                </c:pt>
                <c:pt idx="106">
                  <c:v>0.15958964477868803</c:v>
                </c:pt>
                <c:pt idx="107">
                  <c:v>0.15350371752972525</c:v>
                </c:pt>
                <c:pt idx="108">
                  <c:v>0.16031202266507683</c:v>
                </c:pt>
                <c:pt idx="109">
                  <c:v>0.15469715130162925</c:v>
                </c:pt>
                <c:pt idx="110">
                  <c:v>0.20004637066980679</c:v>
                </c:pt>
                <c:pt idx="111">
                  <c:v>0.21184852792033612</c:v>
                </c:pt>
                <c:pt idx="112">
                  <c:v>0.15138449338933418</c:v>
                </c:pt>
                <c:pt idx="113">
                  <c:v>0.16827615226393028</c:v>
                </c:pt>
                <c:pt idx="114">
                  <c:v>0.20066279608660526</c:v>
                </c:pt>
                <c:pt idx="115">
                  <c:v>0.18197648754090534</c:v>
                </c:pt>
                <c:pt idx="116">
                  <c:v>0.2163023572648298</c:v>
                </c:pt>
                <c:pt idx="117">
                  <c:v>0.16534978837966288</c:v>
                </c:pt>
                <c:pt idx="118">
                  <c:v>0.18278576909350219</c:v>
                </c:pt>
                <c:pt idx="119">
                  <c:v>0.17607712569742492</c:v>
                </c:pt>
                <c:pt idx="120">
                  <c:v>0.20058587206544626</c:v>
                </c:pt>
                <c:pt idx="121">
                  <c:v>0.18260511821089165</c:v>
                </c:pt>
                <c:pt idx="122">
                  <c:v>0.20961112298611953</c:v>
                </c:pt>
                <c:pt idx="123">
                  <c:v>0.20744402611644774</c:v>
                </c:pt>
                <c:pt idx="124">
                  <c:v>0.19006789449412118</c:v>
                </c:pt>
              </c:numCache>
            </c:numRef>
          </c:xVal>
          <c:yVal>
            <c:numRef>
              <c:f>Problema_2!$F$37:$F$161</c:f>
              <c:numCache>
                <c:formatCode>0.0000</c:formatCode>
                <c:ptCount val="125"/>
                <c:pt idx="0">
                  <c:v>3.664997079615339E-2</c:v>
                </c:pt>
                <c:pt idx="1">
                  <c:v>3.7564084289762469E-2</c:v>
                </c:pt>
                <c:pt idx="2">
                  <c:v>4.1061786574206303E-2</c:v>
                </c:pt>
                <c:pt idx="3">
                  <c:v>4.5714610085903537E-2</c:v>
                </c:pt>
                <c:pt idx="4">
                  <c:v>4.9142874219522709E-2</c:v>
                </c:pt>
                <c:pt idx="5">
                  <c:v>5.1707054367552838E-2</c:v>
                </c:pt>
                <c:pt idx="6">
                  <c:v>5.1978304005906972E-2</c:v>
                </c:pt>
                <c:pt idx="7">
                  <c:v>5.2045978549079254E-2</c:v>
                </c:pt>
                <c:pt idx="8">
                  <c:v>5.3875972508985112E-2</c:v>
                </c:pt>
                <c:pt idx="9">
                  <c:v>5.418807990307916E-2</c:v>
                </c:pt>
                <c:pt idx="10">
                  <c:v>5.8141937378074632E-2</c:v>
                </c:pt>
                <c:pt idx="11">
                  <c:v>6.1363695995762219E-2</c:v>
                </c:pt>
                <c:pt idx="12">
                  <c:v>6.2731380342692128E-2</c:v>
                </c:pt>
                <c:pt idx="13">
                  <c:v>6.2943858754219428E-2</c:v>
                </c:pt>
                <c:pt idx="14">
                  <c:v>6.413473769950831E-2</c:v>
                </c:pt>
                <c:pt idx="15">
                  <c:v>6.4354670064935574E-2</c:v>
                </c:pt>
                <c:pt idx="16">
                  <c:v>6.467539964137492E-2</c:v>
                </c:pt>
                <c:pt idx="17">
                  <c:v>6.6110528346120745E-2</c:v>
                </c:pt>
                <c:pt idx="18">
                  <c:v>6.7323354524780027E-2</c:v>
                </c:pt>
                <c:pt idx="19">
                  <c:v>6.7976797028931751E-2</c:v>
                </c:pt>
                <c:pt idx="20">
                  <c:v>6.8155301711197366E-2</c:v>
                </c:pt>
                <c:pt idx="21">
                  <c:v>6.8707858775360064E-2</c:v>
                </c:pt>
                <c:pt idx="22">
                  <c:v>6.9111326361149597E-2</c:v>
                </c:pt>
                <c:pt idx="23">
                  <c:v>6.9620138617548011E-2</c:v>
                </c:pt>
                <c:pt idx="24">
                  <c:v>6.9723795225665117E-2</c:v>
                </c:pt>
                <c:pt idx="25">
                  <c:v>6.9836544235120618E-2</c:v>
                </c:pt>
                <c:pt idx="26">
                  <c:v>6.9929486741377389E-2</c:v>
                </c:pt>
                <c:pt idx="27">
                  <c:v>7.041603750299627E-2</c:v>
                </c:pt>
                <c:pt idx="28">
                  <c:v>7.188938601334674E-2</c:v>
                </c:pt>
                <c:pt idx="29">
                  <c:v>7.3506683696551639E-2</c:v>
                </c:pt>
                <c:pt idx="30">
                  <c:v>7.4283890111087839E-2</c:v>
                </c:pt>
                <c:pt idx="31">
                  <c:v>7.4707763074700173E-2</c:v>
                </c:pt>
                <c:pt idx="32">
                  <c:v>7.516508108114188E-2</c:v>
                </c:pt>
                <c:pt idx="33">
                  <c:v>7.6395236043050499E-2</c:v>
                </c:pt>
                <c:pt idx="34">
                  <c:v>7.6545346468052958E-2</c:v>
                </c:pt>
                <c:pt idx="35">
                  <c:v>7.6959715882008936E-2</c:v>
                </c:pt>
                <c:pt idx="36">
                  <c:v>7.7223341734014614E-2</c:v>
                </c:pt>
                <c:pt idx="37">
                  <c:v>7.8347432565245984E-2</c:v>
                </c:pt>
                <c:pt idx="38">
                  <c:v>7.842103771309715E-2</c:v>
                </c:pt>
                <c:pt idx="39">
                  <c:v>7.8908624065563981E-2</c:v>
                </c:pt>
                <c:pt idx="40">
                  <c:v>7.936701697544879E-2</c:v>
                </c:pt>
                <c:pt idx="41">
                  <c:v>7.9834849852321116E-2</c:v>
                </c:pt>
                <c:pt idx="42">
                  <c:v>8.0385813477211743E-2</c:v>
                </c:pt>
                <c:pt idx="43">
                  <c:v>8.0566639110987215E-2</c:v>
                </c:pt>
                <c:pt idx="44">
                  <c:v>8.0707190369037729E-2</c:v>
                </c:pt>
                <c:pt idx="45">
                  <c:v>8.0718701734001294E-2</c:v>
                </c:pt>
                <c:pt idx="46">
                  <c:v>8.0869054359196349E-2</c:v>
                </c:pt>
                <c:pt idx="47">
                  <c:v>8.2494593101407651E-2</c:v>
                </c:pt>
                <c:pt idx="48">
                  <c:v>8.307865907649821E-2</c:v>
                </c:pt>
                <c:pt idx="49">
                  <c:v>8.3961236842913026E-2</c:v>
                </c:pt>
                <c:pt idx="50">
                  <c:v>8.5581851097635733E-2</c:v>
                </c:pt>
                <c:pt idx="51">
                  <c:v>8.6015576300984123E-2</c:v>
                </c:pt>
                <c:pt idx="52">
                  <c:v>8.7392043820158888E-2</c:v>
                </c:pt>
                <c:pt idx="53">
                  <c:v>8.7514269491382149E-2</c:v>
                </c:pt>
                <c:pt idx="54">
                  <c:v>8.7515851706276071E-2</c:v>
                </c:pt>
                <c:pt idx="55">
                  <c:v>8.7709436898224899E-2</c:v>
                </c:pt>
                <c:pt idx="56">
                  <c:v>8.7757359158015927E-2</c:v>
                </c:pt>
                <c:pt idx="57">
                  <c:v>8.8147279582459589E-2</c:v>
                </c:pt>
                <c:pt idx="58">
                  <c:v>8.9762512344834691E-2</c:v>
                </c:pt>
                <c:pt idx="59">
                  <c:v>9.0063589984431633E-2</c:v>
                </c:pt>
                <c:pt idx="60">
                  <c:v>9.0912532887911485E-2</c:v>
                </c:pt>
                <c:pt idx="61">
                  <c:v>9.175379919157553E-2</c:v>
                </c:pt>
                <c:pt idx="62">
                  <c:v>9.2464052302892855E-2</c:v>
                </c:pt>
                <c:pt idx="63">
                  <c:v>9.2469802516793917E-2</c:v>
                </c:pt>
                <c:pt idx="64">
                  <c:v>9.2520772439081092E-2</c:v>
                </c:pt>
                <c:pt idx="65">
                  <c:v>9.3079401725608177E-2</c:v>
                </c:pt>
                <c:pt idx="66">
                  <c:v>9.3116076545519955E-2</c:v>
                </c:pt>
                <c:pt idx="67">
                  <c:v>9.3520999880414818E-2</c:v>
                </c:pt>
                <c:pt idx="68">
                  <c:v>9.3533735353590539E-2</c:v>
                </c:pt>
                <c:pt idx="69">
                  <c:v>9.4738871778465433E-2</c:v>
                </c:pt>
                <c:pt idx="70">
                  <c:v>9.5014727846549601E-2</c:v>
                </c:pt>
                <c:pt idx="71">
                  <c:v>9.7109352614807021E-2</c:v>
                </c:pt>
                <c:pt idx="72">
                  <c:v>9.8020727033680796E-2</c:v>
                </c:pt>
                <c:pt idx="73">
                  <c:v>9.84996071002254E-2</c:v>
                </c:pt>
                <c:pt idx="74">
                  <c:v>9.9401914830999971E-2</c:v>
                </c:pt>
                <c:pt idx="75">
                  <c:v>9.9450537161312413E-2</c:v>
                </c:pt>
                <c:pt idx="76">
                  <c:v>0.10119912864767695</c:v>
                </c:pt>
                <c:pt idx="77">
                  <c:v>0.1013271452879925</c:v>
                </c:pt>
                <c:pt idx="78">
                  <c:v>0.10136210461606611</c:v>
                </c:pt>
                <c:pt idx="79">
                  <c:v>0.10288678242829104</c:v>
                </c:pt>
                <c:pt idx="80">
                  <c:v>0.1031373292537295</c:v>
                </c:pt>
                <c:pt idx="81">
                  <c:v>0.10365216387510519</c:v>
                </c:pt>
                <c:pt idx="82">
                  <c:v>0.10403434363900615</c:v>
                </c:pt>
                <c:pt idx="83">
                  <c:v>0.10580688262024635</c:v>
                </c:pt>
                <c:pt idx="84">
                  <c:v>0.10626585593159431</c:v>
                </c:pt>
                <c:pt idx="85">
                  <c:v>0.10822848502919537</c:v>
                </c:pt>
                <c:pt idx="86">
                  <c:v>0.10826298085268823</c:v>
                </c:pt>
                <c:pt idx="87">
                  <c:v>0.10916892551333023</c:v>
                </c:pt>
                <c:pt idx="88">
                  <c:v>0.10997415826665401</c:v>
                </c:pt>
                <c:pt idx="89">
                  <c:v>0.11062390585086503</c:v>
                </c:pt>
                <c:pt idx="90">
                  <c:v>0.11197834628670938</c:v>
                </c:pt>
                <c:pt idx="91">
                  <c:v>0.11198715429741818</c:v>
                </c:pt>
                <c:pt idx="92">
                  <c:v>0.11256130550403269</c:v>
                </c:pt>
                <c:pt idx="93">
                  <c:v>0.11315023730569444</c:v>
                </c:pt>
                <c:pt idx="94">
                  <c:v>0.11438352593489601</c:v>
                </c:pt>
                <c:pt idx="95">
                  <c:v>0.11497067586226903</c:v>
                </c:pt>
                <c:pt idx="96">
                  <c:v>0.11519221064722342</c:v>
                </c:pt>
                <c:pt idx="97">
                  <c:v>0.11536401329189411</c:v>
                </c:pt>
                <c:pt idx="98">
                  <c:v>0.11549889067039293</c:v>
                </c:pt>
                <c:pt idx="99">
                  <c:v>0.11660783574025464</c:v>
                </c:pt>
                <c:pt idx="100">
                  <c:v>0.11676867504728924</c:v>
                </c:pt>
                <c:pt idx="101">
                  <c:v>0.11713783052522896</c:v>
                </c:pt>
                <c:pt idx="102">
                  <c:v>0.11869893408166889</c:v>
                </c:pt>
                <c:pt idx="103">
                  <c:v>0.11902896431789857</c:v>
                </c:pt>
                <c:pt idx="104">
                  <c:v>0.12138224950738308</c:v>
                </c:pt>
                <c:pt idx="105">
                  <c:v>0.12146381375902336</c:v>
                </c:pt>
                <c:pt idx="106">
                  <c:v>0.12197267083147301</c:v>
                </c:pt>
                <c:pt idx="107">
                  <c:v>0.1222100924113016</c:v>
                </c:pt>
                <c:pt idx="108">
                  <c:v>0.12346219219458435</c:v>
                </c:pt>
                <c:pt idx="109">
                  <c:v>0.12352302254947803</c:v>
                </c:pt>
                <c:pt idx="110">
                  <c:v>0.12390169995144379</c:v>
                </c:pt>
                <c:pt idx="111">
                  <c:v>0.12424623720021519</c:v>
                </c:pt>
                <c:pt idx="112">
                  <c:v>0.12476682653324273</c:v>
                </c:pt>
                <c:pt idx="113">
                  <c:v>0.12708570815379225</c:v>
                </c:pt>
                <c:pt idx="114">
                  <c:v>0.12762108017134308</c:v>
                </c:pt>
                <c:pt idx="115">
                  <c:v>0.12765213481855567</c:v>
                </c:pt>
                <c:pt idx="116">
                  <c:v>0.12918405090622978</c:v>
                </c:pt>
                <c:pt idx="117">
                  <c:v>0.13115551837288991</c:v>
                </c:pt>
                <c:pt idx="118">
                  <c:v>0.13622936539859029</c:v>
                </c:pt>
                <c:pt idx="119">
                  <c:v>0.13701615541584522</c:v>
                </c:pt>
                <c:pt idx="120">
                  <c:v>0.13816078603399873</c:v>
                </c:pt>
                <c:pt idx="121">
                  <c:v>0.13865854183854087</c:v>
                </c:pt>
                <c:pt idx="122">
                  <c:v>0.13893624886960371</c:v>
                </c:pt>
                <c:pt idx="123">
                  <c:v>0.13905943231551143</c:v>
                </c:pt>
                <c:pt idx="124">
                  <c:v>0.14408983740294731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1C-4F5B-86B8-ECA9AE2F46FC}"/>
            </c:ext>
          </c:extLst>
        </c:ser>
        <c:ser>
          <c:idx val="1"/>
          <c:order val="1"/>
          <c:tx>
            <c:v>mv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Problema_2!$F$20</c:f>
              <c:numCache>
                <c:formatCode>0.00000</c:formatCode>
                <c:ptCount val="1"/>
                <c:pt idx="0">
                  <c:v>7.6088591025268243E-2</c:v>
                </c:pt>
              </c:numCache>
            </c:numRef>
          </c:xVal>
          <c:yVal>
            <c:numRef>
              <c:f>Problema_2!$F$18</c:f>
              <c:numCache>
                <c:formatCode>0.00000</c:formatCode>
                <c:ptCount val="1"/>
                <c:pt idx="0">
                  <c:v>6.6315789473684203E-2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F9-4081-9B29-26D8A736982D}"/>
            </c:ext>
          </c:extLst>
        </c:ser>
        <c:ser>
          <c:idx val="2"/>
          <c:order val="2"/>
          <c:tx>
            <c:v>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Problema_2!$G$20</c:f>
              <c:numCache>
                <c:formatCode>0.000000</c:formatCode>
                <c:ptCount val="1"/>
                <c:pt idx="0">
                  <c:v>8.5497226634299192E-2</c:v>
                </c:pt>
              </c:numCache>
            </c:numRef>
          </c:xVal>
          <c:yVal>
            <c:numRef>
              <c:f>Problema_2!$G$18</c:f>
              <c:numCache>
                <c:formatCode>0.000000</c:formatCode>
                <c:ptCount val="1"/>
                <c:pt idx="0">
                  <c:v>8.3730158730158738E-2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F9-4081-9B29-26D8A736982D}"/>
            </c:ext>
          </c:extLst>
        </c:ser>
        <c:ser>
          <c:idx val="3"/>
          <c:order val="3"/>
          <c:tx>
            <c:strRef>
              <c:f>Problema_2!$E$13</c:f>
              <c:strCache>
                <c:ptCount val="1"/>
                <c:pt idx="0">
                  <c:v>p0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Problema_2!$E$20</c:f>
              <c:numCache>
                <c:formatCode>0.000000</c:formatCode>
                <c:ptCount val="1"/>
                <c:pt idx="0">
                  <c:v>8.4403853905433188E-2</c:v>
                </c:pt>
              </c:numCache>
            </c:numRef>
          </c:xVal>
          <c:yVal>
            <c:numRef>
              <c:f>Problema_2!$E$18</c:f>
              <c:numCache>
                <c:formatCode>0.000000</c:formatCode>
                <c:ptCount val="1"/>
                <c:pt idx="0">
                  <c:v>5.0000000000000086E-2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F9-4081-9B29-26D8A736982D}"/>
            </c:ext>
          </c:extLst>
        </c:ser>
        <c:ser>
          <c:idx val="4"/>
          <c:order val="4"/>
          <c:tx>
            <c:strRef>
              <c:f>Problema_2!$H$13</c:f>
              <c:strCache>
                <c:ptCount val="1"/>
                <c:pt idx="0">
                  <c:v>p1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Problema_2!$H$20</c:f>
              <c:numCache>
                <c:formatCode>0.00000</c:formatCode>
                <c:ptCount val="1"/>
                <c:pt idx="0">
                  <c:v>8.2025801977022E-2</c:v>
                </c:pt>
              </c:numCache>
            </c:numRef>
          </c:xVal>
          <c:yVal>
            <c:numRef>
              <c:f>Problema_2!$H$18</c:f>
              <c:numCache>
                <c:formatCode>0.000000</c:formatCode>
                <c:ptCount val="1"/>
                <c:pt idx="0">
                  <c:v>8.0000000000000085E-2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F9-4081-9B29-26D8A736982D}"/>
            </c:ext>
          </c:extLst>
        </c:ser>
        <c:ser>
          <c:idx val="5"/>
          <c:order val="5"/>
          <c:tx>
            <c:strRef>
              <c:f>Problema_2!$I$13</c:f>
              <c:strCache>
                <c:ptCount val="1"/>
                <c:pt idx="0">
                  <c:v>p2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Problema_2!$I$20</c:f>
              <c:numCache>
                <c:formatCode>0.000000</c:formatCode>
                <c:ptCount val="1"/>
                <c:pt idx="0">
                  <c:v>0.14225845148345215</c:v>
                </c:pt>
              </c:numCache>
            </c:numRef>
          </c:xVal>
          <c:yVal>
            <c:numRef>
              <c:f>Problema_2!$I$18</c:f>
              <c:numCache>
                <c:formatCode>0.000000</c:formatCode>
                <c:ptCount val="1"/>
                <c:pt idx="0">
                  <c:v>0.12000000000000013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F9-4081-9B29-26D8A736982D}"/>
            </c:ext>
          </c:extLst>
        </c:ser>
        <c:ser>
          <c:idx val="6"/>
          <c:order val="6"/>
          <c:tx>
            <c:v>zd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Problema_2!$G$33</c:f>
              <c:numCache>
                <c:formatCode>0.000000</c:formatCode>
                <c:ptCount val="1"/>
                <c:pt idx="0">
                  <c:v>0.16684247543565961</c:v>
                </c:pt>
              </c:numCache>
            </c:numRef>
          </c:xVal>
          <c:yVal>
            <c:numRef>
              <c:f>Problema_2!$G$31</c:f>
              <c:numCache>
                <c:formatCode>0.000000</c:formatCode>
                <c:ptCount val="1"/>
                <c:pt idx="0">
                  <c:v>6.9388939039072284E-18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DF9-4081-9B29-26D8A736982D}"/>
            </c:ext>
          </c:extLst>
        </c:ser>
        <c:ser>
          <c:idx val="7"/>
          <c:order val="7"/>
          <c:tx>
            <c:v>zp1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Problema_2!$H$33</c:f>
              <c:numCache>
                <c:formatCode>0.000000</c:formatCode>
                <c:ptCount val="1"/>
                <c:pt idx="0">
                  <c:v>0.20370096425946704</c:v>
                </c:pt>
              </c:numCache>
            </c:numRef>
          </c:xVal>
          <c:yVal>
            <c:numRef>
              <c:f>Problema_2!$H$31</c:f>
              <c:numCache>
                <c:formatCode>0.000000</c:formatCode>
                <c:ptCount val="1"/>
                <c:pt idx="0">
                  <c:v>-1.8076923076923018E-2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DF9-4081-9B29-26D8A736982D}"/>
            </c:ext>
          </c:extLst>
        </c:ser>
        <c:ser>
          <c:idx val="8"/>
          <c:order val="8"/>
          <c:tx>
            <c:v>ccmr</c:v>
          </c:tx>
          <c:spPr>
            <a:ln w="2540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Problema_2!$G$37:$G$161</c:f>
              <c:numCache>
                <c:formatCode>0.00000</c:formatCode>
                <c:ptCount val="125"/>
                <c:pt idx="0">
                  <c:v>0.10100192064517313</c:v>
                </c:pt>
                <c:pt idx="1">
                  <c:v>9.9667859669727701E-2</c:v>
                </c:pt>
                <c:pt idx="2">
                  <c:v>9.4798263582574108E-2</c:v>
                </c:pt>
                <c:pt idx="3">
                  <c:v>8.8978175430789119E-2</c:v>
                </c:pt>
                <c:pt idx="4">
                  <c:v>8.5252034557177184E-2</c:v>
                </c:pt>
                <c:pt idx="5">
                  <c:v>8.2821282858941594E-2</c:v>
                </c:pt>
                <c:pt idx="6">
                  <c:v>8.2583309762270962E-2</c:v>
                </c:pt>
                <c:pt idx="7">
                  <c:v>8.2524527154106228E-2</c:v>
                </c:pt>
                <c:pt idx="8">
                  <c:v>8.1026294861178252E-2</c:v>
                </c:pt>
                <c:pt idx="9">
                  <c:v>8.0788741594475633E-2</c:v>
                </c:pt>
                <c:pt idx="10">
                  <c:v>7.8258637846213883E-2</c:v>
                </c:pt>
                <c:pt idx="11">
                  <c:v>7.6892219104017279E-2</c:v>
                </c:pt>
                <c:pt idx="12">
                  <c:v>7.6510673287035244E-2</c:v>
                </c:pt>
                <c:pt idx="13">
                  <c:v>7.6462234253237379E-2</c:v>
                </c:pt>
                <c:pt idx="14">
                  <c:v>7.6245140012338161E-2</c:v>
                </c:pt>
                <c:pt idx="15">
                  <c:v>7.621518463884322E-2</c:v>
                </c:pt>
                <c:pt idx="16">
                  <c:v>7.6177185416242479E-2</c:v>
                </c:pt>
                <c:pt idx="17">
                  <c:v>7.608997897683914E-2</c:v>
                </c:pt>
                <c:pt idx="18">
                  <c:v>7.6122027126477601E-2</c:v>
                </c:pt>
                <c:pt idx="19">
                  <c:v>7.6179425125221689E-2</c:v>
                </c:pt>
                <c:pt idx="20">
                  <c:v>7.6199982623363013E-2</c:v>
                </c:pt>
                <c:pt idx="21">
                  <c:v>7.6276858548307361E-2</c:v>
                </c:pt>
                <c:pt idx="22">
                  <c:v>7.6345608369242438E-2</c:v>
                </c:pt>
                <c:pt idx="23">
                  <c:v>7.6447441729690035E-2</c:v>
                </c:pt>
                <c:pt idx="24">
                  <c:v>7.6470251901469222E-2</c:v>
                </c:pt>
                <c:pt idx="25">
                  <c:v>7.6495854701477545E-2</c:v>
                </c:pt>
                <c:pt idx="26">
                  <c:v>7.6517579703695243E-2</c:v>
                </c:pt>
                <c:pt idx="27">
                  <c:v>7.6640430898856596E-2</c:v>
                </c:pt>
                <c:pt idx="28">
                  <c:v>7.7105177545714304E-2</c:v>
                </c:pt>
                <c:pt idx="29">
                  <c:v>7.777339300225064E-2</c:v>
                </c:pt>
                <c:pt idx="30">
                  <c:v>7.815218762309839E-2</c:v>
                </c:pt>
                <c:pt idx="31">
                  <c:v>7.8374287119153715E-2</c:v>
                </c:pt>
                <c:pt idx="32">
                  <c:v>7.8626055521908031E-2</c:v>
                </c:pt>
                <c:pt idx="33">
                  <c:v>7.9364917983778357E-2</c:v>
                </c:pt>
                <c:pt idx="34">
                  <c:v>7.9461143908583332E-2</c:v>
                </c:pt>
                <c:pt idx="35">
                  <c:v>7.9733519701447972E-2</c:v>
                </c:pt>
                <c:pt idx="36">
                  <c:v>7.9911931229274535E-2</c:v>
                </c:pt>
                <c:pt idx="37">
                  <c:v>8.0716699820435486E-2</c:v>
                </c:pt>
                <c:pt idx="38">
                  <c:v>8.0771851935963701E-2</c:v>
                </c:pt>
                <c:pt idx="39">
                  <c:v>8.1144705169934869E-2</c:v>
                </c:pt>
                <c:pt idx="40">
                  <c:v>8.1507015270068608E-2</c:v>
                </c:pt>
                <c:pt idx="41">
                  <c:v>8.1888398442566082E-2</c:v>
                </c:pt>
                <c:pt idx="42">
                  <c:v>8.2352372428262724E-2</c:v>
                </c:pt>
                <c:pt idx="43">
                  <c:v>8.2508099635138318E-2</c:v>
                </c:pt>
                <c:pt idx="44">
                  <c:v>8.2630310036249668E-2</c:v>
                </c:pt>
                <c:pt idx="45">
                  <c:v>8.2640364343173053E-2</c:v>
                </c:pt>
                <c:pt idx="46">
                  <c:v>8.2772310834405532E-2</c:v>
                </c:pt>
                <c:pt idx="47">
                  <c:v>8.4271557083030496E-2</c:v>
                </c:pt>
                <c:pt idx="48">
                  <c:v>8.4841910121096833E-2</c:v>
                </c:pt>
                <c:pt idx="49">
                  <c:v>8.5734417967016335E-2</c:v>
                </c:pt>
                <c:pt idx="50">
                  <c:v>8.7465857255201673E-2</c:v>
                </c:pt>
                <c:pt idx="51">
                  <c:v>8.7948857294770699E-2</c:v>
                </c:pt>
                <c:pt idx="52">
                  <c:v>8.9534219385716526E-2</c:v>
                </c:pt>
                <c:pt idx="53">
                  <c:v>8.9678759452370194E-2</c:v>
                </c:pt>
                <c:pt idx="54">
                  <c:v>8.9680634475616888E-2</c:v>
                </c:pt>
                <c:pt idx="55">
                  <c:v>8.9910803227880851E-2</c:v>
                </c:pt>
                <c:pt idx="56">
                  <c:v>8.9968013317884218E-2</c:v>
                </c:pt>
                <c:pt idx="57">
                  <c:v>9.0436891085312318E-2</c:v>
                </c:pt>
                <c:pt idx="58">
                  <c:v>9.2441713387740779E-2</c:v>
                </c:pt>
                <c:pt idx="59">
                  <c:v>9.2826202708294378E-2</c:v>
                </c:pt>
                <c:pt idx="60">
                  <c:v>9.3927919942180721E-2</c:v>
                </c:pt>
                <c:pt idx="61">
                  <c:v>9.5044580142613896E-2</c:v>
                </c:pt>
                <c:pt idx="62">
                  <c:v>9.6006000518657139E-2</c:v>
                </c:pt>
                <c:pt idx="63">
                  <c:v>9.6013852384048193E-2</c:v>
                </c:pt>
                <c:pt idx="64">
                  <c:v>9.6083498723692137E-2</c:v>
                </c:pt>
                <c:pt idx="65">
                  <c:v>9.6852352251384083E-2</c:v>
                </c:pt>
                <c:pt idx="66">
                  <c:v>9.6903179950982313E-2</c:v>
                </c:pt>
                <c:pt idx="67">
                  <c:v>9.7467200701053747E-2</c:v>
                </c:pt>
                <c:pt idx="68">
                  <c:v>9.7485023873389948E-2</c:v>
                </c:pt>
                <c:pt idx="69">
                  <c:v>9.9194201743395605E-2</c:v>
                </c:pt>
                <c:pt idx="70">
                  <c:v>9.9591590115033629E-2</c:v>
                </c:pt>
                <c:pt idx="71">
                  <c:v>0.10268009129308968</c:v>
                </c:pt>
                <c:pt idx="72">
                  <c:v>0.10406128130477552</c:v>
                </c:pt>
                <c:pt idx="73">
                  <c:v>0.1047956542615824</c:v>
                </c:pt>
                <c:pt idx="74">
                  <c:v>0.10619498096850852</c:v>
                </c:pt>
                <c:pt idx="75">
                  <c:v>0.1062709533525598</c:v>
                </c:pt>
                <c:pt idx="76">
                  <c:v>0.10904019368560278</c:v>
                </c:pt>
                <c:pt idx="77">
                  <c:v>0.10924568779800921</c:v>
                </c:pt>
                <c:pt idx="78">
                  <c:v>0.10930186850604783</c:v>
                </c:pt>
                <c:pt idx="79">
                  <c:v>0.11177792987515095</c:v>
                </c:pt>
                <c:pt idx="80">
                  <c:v>0.11218952503185982</c:v>
                </c:pt>
                <c:pt idx="81">
                  <c:v>0.11303932287825685</c:v>
                </c:pt>
                <c:pt idx="82">
                  <c:v>0.11367360869754443</c:v>
                </c:pt>
                <c:pt idx="83">
                  <c:v>0.11665239116721129</c:v>
                </c:pt>
                <c:pt idx="84">
                  <c:v>0.11743325017290825</c:v>
                </c:pt>
                <c:pt idx="85">
                  <c:v>0.1208139853130908</c:v>
                </c:pt>
                <c:pt idx="86">
                  <c:v>0.12087398930422726</c:v>
                </c:pt>
                <c:pt idx="87">
                  <c:v>0.12245675491417018</c:v>
                </c:pt>
                <c:pt idx="88">
                  <c:v>0.12387447409637224</c:v>
                </c:pt>
                <c:pt idx="89">
                  <c:v>0.12502567506674173</c:v>
                </c:pt>
                <c:pt idx="90">
                  <c:v>0.12744538699211502</c:v>
                </c:pt>
                <c:pt idx="91">
                  <c:v>0.12746120833191574</c:v>
                </c:pt>
                <c:pt idx="92">
                  <c:v>0.12849485125513366</c:v>
                </c:pt>
                <c:pt idx="93">
                  <c:v>0.12955978829283413</c:v>
                </c:pt>
                <c:pt idx="94">
                  <c:v>0.13180474859894278</c:v>
                </c:pt>
                <c:pt idx="95">
                  <c:v>0.13288037618687576</c:v>
                </c:pt>
                <c:pt idx="96">
                  <c:v>0.13328732988920719</c:v>
                </c:pt>
                <c:pt idx="97">
                  <c:v>0.13360334136036647</c:v>
                </c:pt>
                <c:pt idx="98">
                  <c:v>0.13385168483070142</c:v>
                </c:pt>
                <c:pt idx="99">
                  <c:v>0.13590177045745691</c:v>
                </c:pt>
                <c:pt idx="100">
                  <c:v>0.13620030729890703</c:v>
                </c:pt>
                <c:pt idx="101">
                  <c:v>0.13688662425372594</c:v>
                </c:pt>
                <c:pt idx="102">
                  <c:v>0.13980573423769421</c:v>
                </c:pt>
                <c:pt idx="103">
                  <c:v>0.14042622877042887</c:v>
                </c:pt>
                <c:pt idx="104">
                  <c:v>0.14488289389493317</c:v>
                </c:pt>
                <c:pt idx="105">
                  <c:v>0.1450383375140564</c:v>
                </c:pt>
                <c:pt idx="106">
                  <c:v>0.14600952879428414</c:v>
                </c:pt>
                <c:pt idx="107">
                  <c:v>0.14646349440249834</c:v>
                </c:pt>
                <c:pt idx="108">
                  <c:v>0.14886609307367377</c:v>
                </c:pt>
                <c:pt idx="109">
                  <c:v>0.14898317454782142</c:v>
                </c:pt>
                <c:pt idx="110">
                  <c:v>0.14971275036661619</c:v>
                </c:pt>
                <c:pt idx="111">
                  <c:v>0.15037762840730631</c:v>
                </c:pt>
                <c:pt idx="112">
                  <c:v>0.15138416437451913</c:v>
                </c:pt>
                <c:pt idx="113">
                  <c:v>0.15589454403124484</c:v>
                </c:pt>
                <c:pt idx="114">
                  <c:v>0.15694186607197494</c:v>
                </c:pt>
                <c:pt idx="115">
                  <c:v>0.1570026832100169</c:v>
                </c:pt>
                <c:pt idx="116">
                  <c:v>0.16001158671653187</c:v>
                </c:pt>
                <c:pt idx="117">
                  <c:v>0.16390817599100407</c:v>
                </c:pt>
                <c:pt idx="118">
                  <c:v>0.17405027564745706</c:v>
                </c:pt>
                <c:pt idx="119">
                  <c:v>0.17563634654727034</c:v>
                </c:pt>
                <c:pt idx="120">
                  <c:v>0.1779496774108259</c:v>
                </c:pt>
                <c:pt idx="121">
                  <c:v>0.17895777706783017</c:v>
                </c:pt>
                <c:pt idx="122">
                  <c:v>0.1795207608824185</c:v>
                </c:pt>
                <c:pt idx="123">
                  <c:v>0.17977060959954008</c:v>
                </c:pt>
                <c:pt idx="124">
                  <c:v>0.19003495953749439</c:v>
                </c:pt>
              </c:numCache>
            </c:numRef>
          </c:xVal>
          <c:yVal>
            <c:numRef>
              <c:f>Problema_2!$F$37:$F$161</c:f>
              <c:numCache>
                <c:formatCode>0.0000</c:formatCode>
                <c:ptCount val="125"/>
                <c:pt idx="0">
                  <c:v>3.664997079615339E-2</c:v>
                </c:pt>
                <c:pt idx="1">
                  <c:v>3.7564084289762469E-2</c:v>
                </c:pt>
                <c:pt idx="2">
                  <c:v>4.1061786574206303E-2</c:v>
                </c:pt>
                <c:pt idx="3">
                  <c:v>4.5714610085903537E-2</c:v>
                </c:pt>
                <c:pt idx="4">
                  <c:v>4.9142874219522709E-2</c:v>
                </c:pt>
                <c:pt idx="5">
                  <c:v>5.1707054367552838E-2</c:v>
                </c:pt>
                <c:pt idx="6">
                  <c:v>5.1978304005906972E-2</c:v>
                </c:pt>
                <c:pt idx="7">
                  <c:v>5.2045978549079254E-2</c:v>
                </c:pt>
                <c:pt idx="8">
                  <c:v>5.3875972508985112E-2</c:v>
                </c:pt>
                <c:pt idx="9">
                  <c:v>5.418807990307916E-2</c:v>
                </c:pt>
                <c:pt idx="10">
                  <c:v>5.8141937378074632E-2</c:v>
                </c:pt>
                <c:pt idx="11">
                  <c:v>6.1363695995762219E-2</c:v>
                </c:pt>
                <c:pt idx="12">
                  <c:v>6.2731380342692128E-2</c:v>
                </c:pt>
                <c:pt idx="13">
                  <c:v>6.2943858754219428E-2</c:v>
                </c:pt>
                <c:pt idx="14">
                  <c:v>6.413473769950831E-2</c:v>
                </c:pt>
                <c:pt idx="15">
                  <c:v>6.4354670064935574E-2</c:v>
                </c:pt>
                <c:pt idx="16">
                  <c:v>6.467539964137492E-2</c:v>
                </c:pt>
                <c:pt idx="17">
                  <c:v>6.6110528346120745E-2</c:v>
                </c:pt>
                <c:pt idx="18">
                  <c:v>6.7323354524780027E-2</c:v>
                </c:pt>
                <c:pt idx="19">
                  <c:v>6.7976797028931751E-2</c:v>
                </c:pt>
                <c:pt idx="20">
                  <c:v>6.8155301711197366E-2</c:v>
                </c:pt>
                <c:pt idx="21">
                  <c:v>6.8707858775360064E-2</c:v>
                </c:pt>
                <c:pt idx="22">
                  <c:v>6.9111326361149597E-2</c:v>
                </c:pt>
                <c:pt idx="23">
                  <c:v>6.9620138617548011E-2</c:v>
                </c:pt>
                <c:pt idx="24">
                  <c:v>6.9723795225665117E-2</c:v>
                </c:pt>
                <c:pt idx="25">
                  <c:v>6.9836544235120618E-2</c:v>
                </c:pt>
                <c:pt idx="26">
                  <c:v>6.9929486741377389E-2</c:v>
                </c:pt>
                <c:pt idx="27">
                  <c:v>7.041603750299627E-2</c:v>
                </c:pt>
                <c:pt idx="28">
                  <c:v>7.188938601334674E-2</c:v>
                </c:pt>
                <c:pt idx="29">
                  <c:v>7.3506683696551639E-2</c:v>
                </c:pt>
                <c:pt idx="30">
                  <c:v>7.4283890111087839E-2</c:v>
                </c:pt>
                <c:pt idx="31">
                  <c:v>7.4707763074700173E-2</c:v>
                </c:pt>
                <c:pt idx="32">
                  <c:v>7.516508108114188E-2</c:v>
                </c:pt>
                <c:pt idx="33">
                  <c:v>7.6395236043050499E-2</c:v>
                </c:pt>
                <c:pt idx="34">
                  <c:v>7.6545346468052958E-2</c:v>
                </c:pt>
                <c:pt idx="35">
                  <c:v>7.6959715882008936E-2</c:v>
                </c:pt>
                <c:pt idx="36">
                  <c:v>7.7223341734014614E-2</c:v>
                </c:pt>
                <c:pt idx="37">
                  <c:v>7.8347432565245984E-2</c:v>
                </c:pt>
                <c:pt idx="38">
                  <c:v>7.842103771309715E-2</c:v>
                </c:pt>
                <c:pt idx="39">
                  <c:v>7.8908624065563981E-2</c:v>
                </c:pt>
                <c:pt idx="40">
                  <c:v>7.936701697544879E-2</c:v>
                </c:pt>
                <c:pt idx="41">
                  <c:v>7.9834849852321116E-2</c:v>
                </c:pt>
                <c:pt idx="42">
                  <c:v>8.0385813477211743E-2</c:v>
                </c:pt>
                <c:pt idx="43">
                  <c:v>8.0566639110987215E-2</c:v>
                </c:pt>
                <c:pt idx="44">
                  <c:v>8.0707190369037729E-2</c:v>
                </c:pt>
                <c:pt idx="45">
                  <c:v>8.0718701734001294E-2</c:v>
                </c:pt>
                <c:pt idx="46">
                  <c:v>8.0869054359196349E-2</c:v>
                </c:pt>
                <c:pt idx="47">
                  <c:v>8.2494593101407651E-2</c:v>
                </c:pt>
                <c:pt idx="48">
                  <c:v>8.307865907649821E-2</c:v>
                </c:pt>
                <c:pt idx="49">
                  <c:v>8.3961236842913026E-2</c:v>
                </c:pt>
                <c:pt idx="50">
                  <c:v>8.5581851097635733E-2</c:v>
                </c:pt>
                <c:pt idx="51">
                  <c:v>8.6015576300984123E-2</c:v>
                </c:pt>
                <c:pt idx="52">
                  <c:v>8.7392043820158888E-2</c:v>
                </c:pt>
                <c:pt idx="53">
                  <c:v>8.7514269491382149E-2</c:v>
                </c:pt>
                <c:pt idx="54">
                  <c:v>8.7515851706276071E-2</c:v>
                </c:pt>
                <c:pt idx="55">
                  <c:v>8.7709436898224899E-2</c:v>
                </c:pt>
                <c:pt idx="56">
                  <c:v>8.7757359158015927E-2</c:v>
                </c:pt>
                <c:pt idx="57">
                  <c:v>8.8147279582459589E-2</c:v>
                </c:pt>
                <c:pt idx="58">
                  <c:v>8.9762512344834691E-2</c:v>
                </c:pt>
                <c:pt idx="59">
                  <c:v>9.0063589984431633E-2</c:v>
                </c:pt>
                <c:pt idx="60">
                  <c:v>9.0912532887911485E-2</c:v>
                </c:pt>
                <c:pt idx="61">
                  <c:v>9.175379919157553E-2</c:v>
                </c:pt>
                <c:pt idx="62">
                  <c:v>9.2464052302892855E-2</c:v>
                </c:pt>
                <c:pt idx="63">
                  <c:v>9.2469802516793917E-2</c:v>
                </c:pt>
                <c:pt idx="64">
                  <c:v>9.2520772439081092E-2</c:v>
                </c:pt>
                <c:pt idx="65">
                  <c:v>9.3079401725608177E-2</c:v>
                </c:pt>
                <c:pt idx="66">
                  <c:v>9.3116076545519955E-2</c:v>
                </c:pt>
                <c:pt idx="67">
                  <c:v>9.3520999880414818E-2</c:v>
                </c:pt>
                <c:pt idx="68">
                  <c:v>9.3533735353590539E-2</c:v>
                </c:pt>
                <c:pt idx="69">
                  <c:v>9.4738871778465433E-2</c:v>
                </c:pt>
                <c:pt idx="70">
                  <c:v>9.5014727846549601E-2</c:v>
                </c:pt>
                <c:pt idx="71">
                  <c:v>9.7109352614807021E-2</c:v>
                </c:pt>
                <c:pt idx="72">
                  <c:v>9.8020727033680796E-2</c:v>
                </c:pt>
                <c:pt idx="73">
                  <c:v>9.84996071002254E-2</c:v>
                </c:pt>
                <c:pt idx="74">
                  <c:v>9.9401914830999971E-2</c:v>
                </c:pt>
                <c:pt idx="75">
                  <c:v>9.9450537161312413E-2</c:v>
                </c:pt>
                <c:pt idx="76">
                  <c:v>0.10119912864767695</c:v>
                </c:pt>
                <c:pt idx="77">
                  <c:v>0.1013271452879925</c:v>
                </c:pt>
                <c:pt idx="78">
                  <c:v>0.10136210461606611</c:v>
                </c:pt>
                <c:pt idx="79">
                  <c:v>0.10288678242829104</c:v>
                </c:pt>
                <c:pt idx="80">
                  <c:v>0.1031373292537295</c:v>
                </c:pt>
                <c:pt idx="81">
                  <c:v>0.10365216387510519</c:v>
                </c:pt>
                <c:pt idx="82">
                  <c:v>0.10403434363900615</c:v>
                </c:pt>
                <c:pt idx="83">
                  <c:v>0.10580688262024635</c:v>
                </c:pt>
                <c:pt idx="84">
                  <c:v>0.10626585593159431</c:v>
                </c:pt>
                <c:pt idx="85">
                  <c:v>0.10822848502919537</c:v>
                </c:pt>
                <c:pt idx="86">
                  <c:v>0.10826298085268823</c:v>
                </c:pt>
                <c:pt idx="87">
                  <c:v>0.10916892551333023</c:v>
                </c:pt>
                <c:pt idx="88">
                  <c:v>0.10997415826665401</c:v>
                </c:pt>
                <c:pt idx="89">
                  <c:v>0.11062390585086503</c:v>
                </c:pt>
                <c:pt idx="90">
                  <c:v>0.11197834628670938</c:v>
                </c:pt>
                <c:pt idx="91">
                  <c:v>0.11198715429741818</c:v>
                </c:pt>
                <c:pt idx="92">
                  <c:v>0.11256130550403269</c:v>
                </c:pt>
                <c:pt idx="93">
                  <c:v>0.11315023730569444</c:v>
                </c:pt>
                <c:pt idx="94">
                  <c:v>0.11438352593489601</c:v>
                </c:pt>
                <c:pt idx="95">
                  <c:v>0.11497067586226903</c:v>
                </c:pt>
                <c:pt idx="96">
                  <c:v>0.11519221064722342</c:v>
                </c:pt>
                <c:pt idx="97">
                  <c:v>0.11536401329189411</c:v>
                </c:pt>
                <c:pt idx="98">
                  <c:v>0.11549889067039293</c:v>
                </c:pt>
                <c:pt idx="99">
                  <c:v>0.11660783574025464</c:v>
                </c:pt>
                <c:pt idx="100">
                  <c:v>0.11676867504728924</c:v>
                </c:pt>
                <c:pt idx="101">
                  <c:v>0.11713783052522896</c:v>
                </c:pt>
                <c:pt idx="102">
                  <c:v>0.11869893408166889</c:v>
                </c:pt>
                <c:pt idx="103">
                  <c:v>0.11902896431789857</c:v>
                </c:pt>
                <c:pt idx="104">
                  <c:v>0.12138224950738308</c:v>
                </c:pt>
                <c:pt idx="105">
                  <c:v>0.12146381375902336</c:v>
                </c:pt>
                <c:pt idx="106">
                  <c:v>0.12197267083147301</c:v>
                </c:pt>
                <c:pt idx="107">
                  <c:v>0.1222100924113016</c:v>
                </c:pt>
                <c:pt idx="108">
                  <c:v>0.12346219219458435</c:v>
                </c:pt>
                <c:pt idx="109">
                  <c:v>0.12352302254947803</c:v>
                </c:pt>
                <c:pt idx="110">
                  <c:v>0.12390169995144379</c:v>
                </c:pt>
                <c:pt idx="111">
                  <c:v>0.12424623720021519</c:v>
                </c:pt>
                <c:pt idx="112">
                  <c:v>0.12476682653324273</c:v>
                </c:pt>
                <c:pt idx="113">
                  <c:v>0.12708570815379225</c:v>
                </c:pt>
                <c:pt idx="114">
                  <c:v>0.12762108017134308</c:v>
                </c:pt>
                <c:pt idx="115">
                  <c:v>0.12765213481855567</c:v>
                </c:pt>
                <c:pt idx="116">
                  <c:v>0.12918405090622978</c:v>
                </c:pt>
                <c:pt idx="117">
                  <c:v>0.13115551837288991</c:v>
                </c:pt>
                <c:pt idx="118">
                  <c:v>0.13622936539859029</c:v>
                </c:pt>
                <c:pt idx="119">
                  <c:v>0.13701615541584522</c:v>
                </c:pt>
                <c:pt idx="120">
                  <c:v>0.13816078603399873</c:v>
                </c:pt>
                <c:pt idx="121">
                  <c:v>0.13865854183854087</c:v>
                </c:pt>
                <c:pt idx="122">
                  <c:v>0.13893624886960371</c:v>
                </c:pt>
                <c:pt idx="123">
                  <c:v>0.13905943231551143</c:v>
                </c:pt>
                <c:pt idx="124">
                  <c:v>0.14408983740294731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DF9-4081-9B29-26D8A736982D}"/>
            </c:ext>
          </c:extLst>
        </c:ser>
        <c:ser>
          <c:idx val="9"/>
          <c:order val="9"/>
          <c:tx>
            <c:v>fe</c:v>
          </c:tx>
          <c:spPr>
            <a:ln w="254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Problema_2!$G$51:$G$161</c:f>
              <c:numCache>
                <c:formatCode>0.00000</c:formatCode>
                <c:ptCount val="111"/>
                <c:pt idx="0">
                  <c:v>7.6245140012338161E-2</c:v>
                </c:pt>
                <c:pt idx="1">
                  <c:v>7.621518463884322E-2</c:v>
                </c:pt>
                <c:pt idx="2">
                  <c:v>7.6177185416242479E-2</c:v>
                </c:pt>
                <c:pt idx="3">
                  <c:v>7.608997897683914E-2</c:v>
                </c:pt>
                <c:pt idx="4">
                  <c:v>7.6122027126477601E-2</c:v>
                </c:pt>
                <c:pt idx="5">
                  <c:v>7.6179425125221689E-2</c:v>
                </c:pt>
                <c:pt idx="6">
                  <c:v>7.6199982623363013E-2</c:v>
                </c:pt>
                <c:pt idx="7">
                  <c:v>7.6276858548307361E-2</c:v>
                </c:pt>
                <c:pt idx="8">
                  <c:v>7.6345608369242438E-2</c:v>
                </c:pt>
                <c:pt idx="9">
                  <c:v>7.6447441729690035E-2</c:v>
                </c:pt>
                <c:pt idx="10">
                  <c:v>7.6470251901469222E-2</c:v>
                </c:pt>
                <c:pt idx="11">
                  <c:v>7.6495854701477545E-2</c:v>
                </c:pt>
                <c:pt idx="12">
                  <c:v>7.6517579703695243E-2</c:v>
                </c:pt>
                <c:pt idx="13">
                  <c:v>7.6640430898856596E-2</c:v>
                </c:pt>
                <c:pt idx="14">
                  <c:v>7.7105177545714304E-2</c:v>
                </c:pt>
                <c:pt idx="15">
                  <c:v>7.777339300225064E-2</c:v>
                </c:pt>
                <c:pt idx="16">
                  <c:v>7.815218762309839E-2</c:v>
                </c:pt>
                <c:pt idx="17">
                  <c:v>7.8374287119153715E-2</c:v>
                </c:pt>
                <c:pt idx="18">
                  <c:v>7.8626055521908031E-2</c:v>
                </c:pt>
                <c:pt idx="19">
                  <c:v>7.9364917983778357E-2</c:v>
                </c:pt>
                <c:pt idx="20">
                  <c:v>7.9461143908583332E-2</c:v>
                </c:pt>
                <c:pt idx="21">
                  <c:v>7.9733519701447972E-2</c:v>
                </c:pt>
                <c:pt idx="22">
                  <c:v>7.9911931229274535E-2</c:v>
                </c:pt>
                <c:pt idx="23">
                  <c:v>8.0716699820435486E-2</c:v>
                </c:pt>
                <c:pt idx="24">
                  <c:v>8.0771851935963701E-2</c:v>
                </c:pt>
                <c:pt idx="25">
                  <c:v>8.1144705169934869E-2</c:v>
                </c:pt>
                <c:pt idx="26">
                  <c:v>8.1507015270068608E-2</c:v>
                </c:pt>
                <c:pt idx="27">
                  <c:v>8.1888398442566082E-2</c:v>
                </c:pt>
                <c:pt idx="28">
                  <c:v>8.2352372428262724E-2</c:v>
                </c:pt>
                <c:pt idx="29">
                  <c:v>8.2508099635138318E-2</c:v>
                </c:pt>
                <c:pt idx="30">
                  <c:v>8.2630310036249668E-2</c:v>
                </c:pt>
                <c:pt idx="31">
                  <c:v>8.2640364343173053E-2</c:v>
                </c:pt>
                <c:pt idx="32">
                  <c:v>8.2772310834405532E-2</c:v>
                </c:pt>
                <c:pt idx="33">
                  <c:v>8.4271557083030496E-2</c:v>
                </c:pt>
                <c:pt idx="34">
                  <c:v>8.4841910121096833E-2</c:v>
                </c:pt>
                <c:pt idx="35">
                  <c:v>8.5734417967016335E-2</c:v>
                </c:pt>
                <c:pt idx="36">
                  <c:v>8.7465857255201673E-2</c:v>
                </c:pt>
                <c:pt idx="37">
                  <c:v>8.7948857294770699E-2</c:v>
                </c:pt>
                <c:pt idx="38">
                  <c:v>8.9534219385716526E-2</c:v>
                </c:pt>
                <c:pt idx="39">
                  <c:v>8.9678759452370194E-2</c:v>
                </c:pt>
                <c:pt idx="40">
                  <c:v>8.9680634475616888E-2</c:v>
                </c:pt>
                <c:pt idx="41">
                  <c:v>8.9910803227880851E-2</c:v>
                </c:pt>
                <c:pt idx="42">
                  <c:v>8.9968013317884218E-2</c:v>
                </c:pt>
                <c:pt idx="43">
                  <c:v>9.0436891085312318E-2</c:v>
                </c:pt>
                <c:pt idx="44">
                  <c:v>9.2441713387740779E-2</c:v>
                </c:pt>
                <c:pt idx="45">
                  <c:v>9.2826202708294378E-2</c:v>
                </c:pt>
                <c:pt idx="46">
                  <c:v>9.3927919942180721E-2</c:v>
                </c:pt>
                <c:pt idx="47">
                  <c:v>9.5044580142613896E-2</c:v>
                </c:pt>
                <c:pt idx="48">
                  <c:v>9.6006000518657139E-2</c:v>
                </c:pt>
                <c:pt idx="49">
                  <c:v>9.6013852384048193E-2</c:v>
                </c:pt>
                <c:pt idx="50">
                  <c:v>9.6083498723692137E-2</c:v>
                </c:pt>
                <c:pt idx="51">
                  <c:v>9.6852352251384083E-2</c:v>
                </c:pt>
                <c:pt idx="52">
                  <c:v>9.6903179950982313E-2</c:v>
                </c:pt>
                <c:pt idx="53">
                  <c:v>9.7467200701053747E-2</c:v>
                </c:pt>
                <c:pt idx="54">
                  <c:v>9.7485023873389948E-2</c:v>
                </c:pt>
                <c:pt idx="55">
                  <c:v>9.9194201743395605E-2</c:v>
                </c:pt>
                <c:pt idx="56">
                  <c:v>9.9591590115033629E-2</c:v>
                </c:pt>
                <c:pt idx="57">
                  <c:v>0.10268009129308968</c:v>
                </c:pt>
                <c:pt idx="58">
                  <c:v>0.10406128130477552</c:v>
                </c:pt>
                <c:pt idx="59">
                  <c:v>0.1047956542615824</c:v>
                </c:pt>
                <c:pt idx="60">
                  <c:v>0.10619498096850852</c:v>
                </c:pt>
                <c:pt idx="61">
                  <c:v>0.1062709533525598</c:v>
                </c:pt>
                <c:pt idx="62">
                  <c:v>0.10904019368560278</c:v>
                </c:pt>
                <c:pt idx="63">
                  <c:v>0.10924568779800921</c:v>
                </c:pt>
                <c:pt idx="64">
                  <c:v>0.10930186850604783</c:v>
                </c:pt>
                <c:pt idx="65">
                  <c:v>0.11177792987515095</c:v>
                </c:pt>
                <c:pt idx="66">
                  <c:v>0.11218952503185982</c:v>
                </c:pt>
                <c:pt idx="67">
                  <c:v>0.11303932287825685</c:v>
                </c:pt>
                <c:pt idx="68">
                  <c:v>0.11367360869754443</c:v>
                </c:pt>
                <c:pt idx="69">
                  <c:v>0.11665239116721129</c:v>
                </c:pt>
                <c:pt idx="70">
                  <c:v>0.11743325017290825</c:v>
                </c:pt>
                <c:pt idx="71">
                  <c:v>0.1208139853130908</c:v>
                </c:pt>
                <c:pt idx="72">
                  <c:v>0.12087398930422726</c:v>
                </c:pt>
                <c:pt idx="73">
                  <c:v>0.12245675491417018</c:v>
                </c:pt>
                <c:pt idx="74">
                  <c:v>0.12387447409637224</c:v>
                </c:pt>
                <c:pt idx="75">
                  <c:v>0.12502567506674173</c:v>
                </c:pt>
                <c:pt idx="76">
                  <c:v>0.12744538699211502</c:v>
                </c:pt>
                <c:pt idx="77">
                  <c:v>0.12746120833191574</c:v>
                </c:pt>
                <c:pt idx="78">
                  <c:v>0.12849485125513366</c:v>
                </c:pt>
                <c:pt idx="79">
                  <c:v>0.12955978829283413</c:v>
                </c:pt>
                <c:pt idx="80">
                  <c:v>0.13180474859894278</c:v>
                </c:pt>
                <c:pt idx="81">
                  <c:v>0.13288037618687576</c:v>
                </c:pt>
                <c:pt idx="82">
                  <c:v>0.13328732988920719</c:v>
                </c:pt>
                <c:pt idx="83">
                  <c:v>0.13360334136036647</c:v>
                </c:pt>
                <c:pt idx="84">
                  <c:v>0.13385168483070142</c:v>
                </c:pt>
                <c:pt idx="85">
                  <c:v>0.13590177045745691</c:v>
                </c:pt>
                <c:pt idx="86">
                  <c:v>0.13620030729890703</c:v>
                </c:pt>
                <c:pt idx="87">
                  <c:v>0.13688662425372594</c:v>
                </c:pt>
                <c:pt idx="88">
                  <c:v>0.13980573423769421</c:v>
                </c:pt>
                <c:pt idx="89">
                  <c:v>0.14042622877042887</c:v>
                </c:pt>
                <c:pt idx="90">
                  <c:v>0.14488289389493317</c:v>
                </c:pt>
                <c:pt idx="91">
                  <c:v>0.1450383375140564</c:v>
                </c:pt>
                <c:pt idx="92">
                  <c:v>0.14600952879428414</c:v>
                </c:pt>
                <c:pt idx="93">
                  <c:v>0.14646349440249834</c:v>
                </c:pt>
                <c:pt idx="94">
                  <c:v>0.14886609307367377</c:v>
                </c:pt>
                <c:pt idx="95">
                  <c:v>0.14898317454782142</c:v>
                </c:pt>
                <c:pt idx="96">
                  <c:v>0.14971275036661619</c:v>
                </c:pt>
                <c:pt idx="97">
                  <c:v>0.15037762840730631</c:v>
                </c:pt>
                <c:pt idx="98">
                  <c:v>0.15138416437451913</c:v>
                </c:pt>
                <c:pt idx="99">
                  <c:v>0.15589454403124484</c:v>
                </c:pt>
                <c:pt idx="100">
                  <c:v>0.15694186607197494</c:v>
                </c:pt>
                <c:pt idx="101">
                  <c:v>0.1570026832100169</c:v>
                </c:pt>
                <c:pt idx="102">
                  <c:v>0.16001158671653187</c:v>
                </c:pt>
                <c:pt idx="103">
                  <c:v>0.16390817599100407</c:v>
                </c:pt>
                <c:pt idx="104">
                  <c:v>0.17405027564745706</c:v>
                </c:pt>
                <c:pt idx="105">
                  <c:v>0.17563634654727034</c:v>
                </c:pt>
                <c:pt idx="106">
                  <c:v>0.1779496774108259</c:v>
                </c:pt>
                <c:pt idx="107">
                  <c:v>0.17895777706783017</c:v>
                </c:pt>
                <c:pt idx="108">
                  <c:v>0.1795207608824185</c:v>
                </c:pt>
                <c:pt idx="109">
                  <c:v>0.17977060959954008</c:v>
                </c:pt>
                <c:pt idx="110">
                  <c:v>0.19003495953749439</c:v>
                </c:pt>
              </c:numCache>
            </c:numRef>
          </c:xVal>
          <c:yVal>
            <c:numRef>
              <c:f>Problema_2!$F$51:$F$161</c:f>
              <c:numCache>
                <c:formatCode>0.0000</c:formatCode>
                <c:ptCount val="111"/>
                <c:pt idx="0">
                  <c:v>6.413473769950831E-2</c:v>
                </c:pt>
                <c:pt idx="1">
                  <c:v>6.4354670064935574E-2</c:v>
                </c:pt>
                <c:pt idx="2">
                  <c:v>6.467539964137492E-2</c:v>
                </c:pt>
                <c:pt idx="3">
                  <c:v>6.6110528346120745E-2</c:v>
                </c:pt>
                <c:pt idx="4">
                  <c:v>6.7323354524780027E-2</c:v>
                </c:pt>
                <c:pt idx="5">
                  <c:v>6.7976797028931751E-2</c:v>
                </c:pt>
                <c:pt idx="6">
                  <c:v>6.8155301711197366E-2</c:v>
                </c:pt>
                <c:pt idx="7">
                  <c:v>6.8707858775360064E-2</c:v>
                </c:pt>
                <c:pt idx="8">
                  <c:v>6.9111326361149597E-2</c:v>
                </c:pt>
                <c:pt idx="9">
                  <c:v>6.9620138617548011E-2</c:v>
                </c:pt>
                <c:pt idx="10">
                  <c:v>6.9723795225665117E-2</c:v>
                </c:pt>
                <c:pt idx="11">
                  <c:v>6.9836544235120618E-2</c:v>
                </c:pt>
                <c:pt idx="12">
                  <c:v>6.9929486741377389E-2</c:v>
                </c:pt>
                <c:pt idx="13">
                  <c:v>7.041603750299627E-2</c:v>
                </c:pt>
                <c:pt idx="14">
                  <c:v>7.188938601334674E-2</c:v>
                </c:pt>
                <c:pt idx="15">
                  <c:v>7.3506683696551639E-2</c:v>
                </c:pt>
                <c:pt idx="16">
                  <c:v>7.4283890111087839E-2</c:v>
                </c:pt>
                <c:pt idx="17">
                  <c:v>7.4707763074700173E-2</c:v>
                </c:pt>
                <c:pt idx="18">
                  <c:v>7.516508108114188E-2</c:v>
                </c:pt>
                <c:pt idx="19">
                  <c:v>7.6395236043050499E-2</c:v>
                </c:pt>
                <c:pt idx="20">
                  <c:v>7.6545346468052958E-2</c:v>
                </c:pt>
                <c:pt idx="21">
                  <c:v>7.6959715882008936E-2</c:v>
                </c:pt>
                <c:pt idx="22">
                  <c:v>7.7223341734014614E-2</c:v>
                </c:pt>
                <c:pt idx="23">
                  <c:v>7.8347432565245984E-2</c:v>
                </c:pt>
                <c:pt idx="24">
                  <c:v>7.842103771309715E-2</c:v>
                </c:pt>
                <c:pt idx="25">
                  <c:v>7.8908624065563981E-2</c:v>
                </c:pt>
                <c:pt idx="26">
                  <c:v>7.936701697544879E-2</c:v>
                </c:pt>
                <c:pt idx="27">
                  <c:v>7.9834849852321116E-2</c:v>
                </c:pt>
                <c:pt idx="28">
                  <c:v>8.0385813477211743E-2</c:v>
                </c:pt>
                <c:pt idx="29">
                  <c:v>8.0566639110987215E-2</c:v>
                </c:pt>
                <c:pt idx="30">
                  <c:v>8.0707190369037729E-2</c:v>
                </c:pt>
                <c:pt idx="31">
                  <c:v>8.0718701734001294E-2</c:v>
                </c:pt>
                <c:pt idx="32">
                  <c:v>8.0869054359196349E-2</c:v>
                </c:pt>
                <c:pt idx="33">
                  <c:v>8.2494593101407651E-2</c:v>
                </c:pt>
                <c:pt idx="34">
                  <c:v>8.307865907649821E-2</c:v>
                </c:pt>
                <c:pt idx="35">
                  <c:v>8.3961236842913026E-2</c:v>
                </c:pt>
                <c:pt idx="36">
                  <c:v>8.5581851097635733E-2</c:v>
                </c:pt>
                <c:pt idx="37">
                  <c:v>8.6015576300984123E-2</c:v>
                </c:pt>
                <c:pt idx="38">
                  <c:v>8.7392043820158888E-2</c:v>
                </c:pt>
                <c:pt idx="39">
                  <c:v>8.7514269491382149E-2</c:v>
                </c:pt>
                <c:pt idx="40">
                  <c:v>8.7515851706276071E-2</c:v>
                </c:pt>
                <c:pt idx="41">
                  <c:v>8.7709436898224899E-2</c:v>
                </c:pt>
                <c:pt idx="42">
                  <c:v>8.7757359158015927E-2</c:v>
                </c:pt>
                <c:pt idx="43">
                  <c:v>8.8147279582459589E-2</c:v>
                </c:pt>
                <c:pt idx="44">
                  <c:v>8.9762512344834691E-2</c:v>
                </c:pt>
                <c:pt idx="45">
                  <c:v>9.0063589984431633E-2</c:v>
                </c:pt>
                <c:pt idx="46">
                  <c:v>9.0912532887911485E-2</c:v>
                </c:pt>
                <c:pt idx="47">
                  <c:v>9.175379919157553E-2</c:v>
                </c:pt>
                <c:pt idx="48">
                  <c:v>9.2464052302892855E-2</c:v>
                </c:pt>
                <c:pt idx="49">
                  <c:v>9.2469802516793917E-2</c:v>
                </c:pt>
                <c:pt idx="50">
                  <c:v>9.2520772439081092E-2</c:v>
                </c:pt>
                <c:pt idx="51">
                  <c:v>9.3079401725608177E-2</c:v>
                </c:pt>
                <c:pt idx="52">
                  <c:v>9.3116076545519955E-2</c:v>
                </c:pt>
                <c:pt idx="53">
                  <c:v>9.3520999880414818E-2</c:v>
                </c:pt>
                <c:pt idx="54">
                  <c:v>9.3533735353590539E-2</c:v>
                </c:pt>
                <c:pt idx="55">
                  <c:v>9.4738871778465433E-2</c:v>
                </c:pt>
                <c:pt idx="56">
                  <c:v>9.5014727846549601E-2</c:v>
                </c:pt>
                <c:pt idx="57">
                  <c:v>9.7109352614807021E-2</c:v>
                </c:pt>
                <c:pt idx="58">
                  <c:v>9.8020727033680796E-2</c:v>
                </c:pt>
                <c:pt idx="59">
                  <c:v>9.84996071002254E-2</c:v>
                </c:pt>
                <c:pt idx="60">
                  <c:v>9.9401914830999971E-2</c:v>
                </c:pt>
                <c:pt idx="61">
                  <c:v>9.9450537161312413E-2</c:v>
                </c:pt>
                <c:pt idx="62">
                  <c:v>0.10119912864767695</c:v>
                </c:pt>
                <c:pt idx="63">
                  <c:v>0.1013271452879925</c:v>
                </c:pt>
                <c:pt idx="64">
                  <c:v>0.10136210461606611</c:v>
                </c:pt>
                <c:pt idx="65">
                  <c:v>0.10288678242829104</c:v>
                </c:pt>
                <c:pt idx="66">
                  <c:v>0.1031373292537295</c:v>
                </c:pt>
                <c:pt idx="67">
                  <c:v>0.10365216387510519</c:v>
                </c:pt>
                <c:pt idx="68">
                  <c:v>0.10403434363900615</c:v>
                </c:pt>
                <c:pt idx="69">
                  <c:v>0.10580688262024635</c:v>
                </c:pt>
                <c:pt idx="70">
                  <c:v>0.10626585593159431</c:v>
                </c:pt>
                <c:pt idx="71">
                  <c:v>0.10822848502919537</c:v>
                </c:pt>
                <c:pt idx="72">
                  <c:v>0.10826298085268823</c:v>
                </c:pt>
                <c:pt idx="73">
                  <c:v>0.10916892551333023</c:v>
                </c:pt>
                <c:pt idx="74">
                  <c:v>0.10997415826665401</c:v>
                </c:pt>
                <c:pt idx="75">
                  <c:v>0.11062390585086503</c:v>
                </c:pt>
                <c:pt idx="76">
                  <c:v>0.11197834628670938</c:v>
                </c:pt>
                <c:pt idx="77">
                  <c:v>0.11198715429741818</c:v>
                </c:pt>
                <c:pt idx="78">
                  <c:v>0.11256130550403269</c:v>
                </c:pt>
                <c:pt idx="79">
                  <c:v>0.11315023730569444</c:v>
                </c:pt>
                <c:pt idx="80">
                  <c:v>0.11438352593489601</c:v>
                </c:pt>
                <c:pt idx="81">
                  <c:v>0.11497067586226903</c:v>
                </c:pt>
                <c:pt idx="82">
                  <c:v>0.11519221064722342</c:v>
                </c:pt>
                <c:pt idx="83">
                  <c:v>0.11536401329189411</c:v>
                </c:pt>
                <c:pt idx="84">
                  <c:v>0.11549889067039293</c:v>
                </c:pt>
                <c:pt idx="85">
                  <c:v>0.11660783574025464</c:v>
                </c:pt>
                <c:pt idx="86">
                  <c:v>0.11676867504728924</c:v>
                </c:pt>
                <c:pt idx="87">
                  <c:v>0.11713783052522896</c:v>
                </c:pt>
                <c:pt idx="88">
                  <c:v>0.11869893408166889</c:v>
                </c:pt>
                <c:pt idx="89">
                  <c:v>0.11902896431789857</c:v>
                </c:pt>
                <c:pt idx="90">
                  <c:v>0.12138224950738308</c:v>
                </c:pt>
                <c:pt idx="91">
                  <c:v>0.12146381375902336</c:v>
                </c:pt>
                <c:pt idx="92">
                  <c:v>0.12197267083147301</c:v>
                </c:pt>
                <c:pt idx="93">
                  <c:v>0.1222100924113016</c:v>
                </c:pt>
                <c:pt idx="94">
                  <c:v>0.12346219219458435</c:v>
                </c:pt>
                <c:pt idx="95">
                  <c:v>0.12352302254947803</c:v>
                </c:pt>
                <c:pt idx="96">
                  <c:v>0.12390169995144379</c:v>
                </c:pt>
                <c:pt idx="97">
                  <c:v>0.12424623720021519</c:v>
                </c:pt>
                <c:pt idx="98">
                  <c:v>0.12476682653324273</c:v>
                </c:pt>
                <c:pt idx="99">
                  <c:v>0.12708570815379225</c:v>
                </c:pt>
                <c:pt idx="100">
                  <c:v>0.12762108017134308</c:v>
                </c:pt>
                <c:pt idx="101">
                  <c:v>0.12765213481855567</c:v>
                </c:pt>
                <c:pt idx="102">
                  <c:v>0.12918405090622978</c:v>
                </c:pt>
                <c:pt idx="103">
                  <c:v>0.13115551837288991</c:v>
                </c:pt>
                <c:pt idx="104">
                  <c:v>0.13622936539859029</c:v>
                </c:pt>
                <c:pt idx="105">
                  <c:v>0.13701615541584522</c:v>
                </c:pt>
                <c:pt idx="106">
                  <c:v>0.13816078603399873</c:v>
                </c:pt>
                <c:pt idx="107">
                  <c:v>0.13865854183854087</c:v>
                </c:pt>
                <c:pt idx="108">
                  <c:v>0.13893624886960371</c:v>
                </c:pt>
                <c:pt idx="109">
                  <c:v>0.13905943231551143</c:v>
                </c:pt>
                <c:pt idx="110">
                  <c:v>0.14408983740294731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DF9-4081-9B29-26D8A7369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170624"/>
        <c:axId val="2065401152"/>
      </c:scatterChart>
      <c:valAx>
        <c:axId val="178517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5401152"/>
        <c:crosses val="autoZero"/>
        <c:crossBetween val="midCat"/>
      </c:valAx>
      <c:valAx>
        <c:axId val="20654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517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53009</xdr:colOff>
      <xdr:row>17</xdr:row>
      <xdr:rowOff>152400</xdr:rowOff>
    </xdr:from>
    <xdr:to>
      <xdr:col>23</xdr:col>
      <xdr:colOff>490330</xdr:colOff>
      <xdr:row>38</xdr:row>
      <xdr:rowOff>132521</xdr:rowOff>
    </xdr:to>
    <xdr:graphicFrame macro="">
      <xdr:nvGraphicFramePr>
        <xdr:cNvPr id="2" name="Gràfic 1">
          <a:extLst>
            <a:ext uri="{FF2B5EF4-FFF2-40B4-BE49-F238E27FC236}">
              <a16:creationId xmlns:a16="http://schemas.microsoft.com/office/drawing/2014/main" id="{54BC9B00-4832-4092-BAD0-8EF87A871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B7F9-0F48-4FC8-A346-68FF86158445}">
  <dimension ref="A1:U161"/>
  <sheetViews>
    <sheetView topLeftCell="A13" zoomScaleNormal="100" workbookViewId="0">
      <selection activeCell="G32" sqref="G32:G33"/>
    </sheetView>
  </sheetViews>
  <sheetFormatPr defaultColWidth="8.85546875" defaultRowHeight="15" x14ac:dyDescent="0.25"/>
  <cols>
    <col min="2" max="3" width="11.140625" customWidth="1"/>
    <col min="4" max="4" width="11.42578125" customWidth="1"/>
    <col min="5" max="6" width="11.5703125" customWidth="1"/>
    <col min="7" max="7" width="12.42578125" customWidth="1"/>
    <col min="8" max="8" width="11.42578125" customWidth="1"/>
    <col min="9" max="9" width="10.85546875" bestFit="1" customWidth="1"/>
    <col min="10" max="11" width="10.7109375" customWidth="1"/>
    <col min="12" max="12" width="10.140625" customWidth="1"/>
    <col min="13" max="13" width="11.42578125" customWidth="1"/>
    <col min="14" max="14" width="12.28515625" bestFit="1" customWidth="1"/>
  </cols>
  <sheetData>
    <row r="1" spans="1:21" x14ac:dyDescent="0.25">
      <c r="A1" s="19" t="s">
        <v>0</v>
      </c>
    </row>
    <row r="3" spans="1:21" ht="16.5" thickBot="1" x14ac:dyDescent="0.3">
      <c r="A3" s="1" t="s">
        <v>1</v>
      </c>
      <c r="B3" s="1" t="s">
        <v>2</v>
      </c>
      <c r="C3" s="67" t="s">
        <v>3</v>
      </c>
      <c r="D3" s="68"/>
      <c r="E3" s="68"/>
      <c r="G3" s="21" t="s">
        <v>5</v>
      </c>
      <c r="I3" s="22" t="s">
        <v>4</v>
      </c>
      <c r="J3" s="27" t="s">
        <v>6</v>
      </c>
      <c r="K3" s="21" t="s">
        <v>7</v>
      </c>
      <c r="L3" s="30" t="s">
        <v>56</v>
      </c>
    </row>
    <row r="4" spans="1:21" ht="15.75" x14ac:dyDescent="0.25">
      <c r="A4" s="2">
        <v>1</v>
      </c>
      <c r="B4" s="3">
        <v>0.11</v>
      </c>
      <c r="C4" s="4">
        <v>0.08</v>
      </c>
      <c r="D4" s="5">
        <v>-0.03</v>
      </c>
      <c r="E4" s="5">
        <v>0.02</v>
      </c>
      <c r="F4" s="34">
        <f t="array" ref="F4:H6">MINVERSE(C4:E6)</f>
        <v>22.727272727272727</v>
      </c>
      <c r="G4" s="34">
        <v>18.18181818181818</v>
      </c>
      <c r="H4" s="34">
        <v>-13.636363636363635</v>
      </c>
      <c r="I4" s="20">
        <v>1</v>
      </c>
      <c r="J4" s="23">
        <f>SUM(F4:H4)</f>
        <v>27.272727272727273</v>
      </c>
      <c r="K4" s="24">
        <f t="array" ref="K4:K6">MMULT(F4:H6,B4:B6)</f>
        <v>3.545454545454545</v>
      </c>
      <c r="L4" s="20" t="s">
        <v>10</v>
      </c>
      <c r="M4">
        <f>SUM(J4:J6)</f>
        <v>172.72727272727275</v>
      </c>
      <c r="N4" s="20" t="s">
        <v>11</v>
      </c>
      <c r="O4">
        <f>M4/$O$7</f>
        <v>5.0131926121372059</v>
      </c>
    </row>
    <row r="5" spans="1:21" ht="15.75" x14ac:dyDescent="0.25">
      <c r="A5" s="2">
        <v>2</v>
      </c>
      <c r="B5" s="6">
        <v>0.08</v>
      </c>
      <c r="C5" s="7">
        <v>-0.03</v>
      </c>
      <c r="D5" s="8">
        <v>0.03</v>
      </c>
      <c r="E5" s="9">
        <v>-0.01</v>
      </c>
      <c r="F5" s="34">
        <v>18.18181818181818</v>
      </c>
      <c r="G5" s="34">
        <v>54.545454545454547</v>
      </c>
      <c r="H5" s="34">
        <v>9.0909090909090935</v>
      </c>
      <c r="I5" s="20">
        <v>1</v>
      </c>
      <c r="J5" s="23">
        <f t="shared" ref="J5:J6" si="0">SUM(F5:H5)</f>
        <v>81.818181818181813</v>
      </c>
      <c r="K5" s="24">
        <v>6.6363636363636367</v>
      </c>
      <c r="L5" s="20" t="s">
        <v>12</v>
      </c>
      <c r="M5">
        <f>SUM(K4:K6)</f>
        <v>11.454545454545455</v>
      </c>
      <c r="N5" s="25" t="s">
        <v>13</v>
      </c>
      <c r="O5">
        <f t="shared" ref="O5:O6" si="1">M5/$O$7</f>
        <v>0.33245382585751998</v>
      </c>
    </row>
    <row r="6" spans="1:21" ht="16.5" thickBot="1" x14ac:dyDescent="0.3">
      <c r="A6" s="10">
        <v>3</v>
      </c>
      <c r="B6" s="11">
        <v>0.03</v>
      </c>
      <c r="C6" s="12">
        <v>0.02</v>
      </c>
      <c r="D6" s="13">
        <v>-0.01</v>
      </c>
      <c r="E6" s="14">
        <v>0.02</v>
      </c>
      <c r="F6" s="34">
        <v>-13.636363636363635</v>
      </c>
      <c r="G6" s="34">
        <v>9.0909090909090935</v>
      </c>
      <c r="H6" s="34">
        <v>68.181818181818187</v>
      </c>
      <c r="I6" s="20">
        <v>1</v>
      </c>
      <c r="J6" s="23">
        <f t="shared" si="0"/>
        <v>63.636363636363647</v>
      </c>
      <c r="K6" s="24">
        <v>1.2727272727272732</v>
      </c>
      <c r="L6" s="18" t="s">
        <v>14</v>
      </c>
      <c r="M6">
        <f t="array" ref="M6">MMULT(TRANSPOSE(B4:B6),K4:K6)</f>
        <v>0.95909090909090911</v>
      </c>
      <c r="N6" s="20" t="s">
        <v>15</v>
      </c>
      <c r="O6">
        <f t="shared" si="1"/>
        <v>2.7836411609498693E-2</v>
      </c>
    </row>
    <row r="7" spans="1:21" x14ac:dyDescent="0.25">
      <c r="N7" s="26" t="s">
        <v>16</v>
      </c>
      <c r="O7">
        <f>M6*M4-M5^2</f>
        <v>34.454545454545439</v>
      </c>
    </row>
    <row r="9" spans="1:21" x14ac:dyDescent="0.25">
      <c r="B9" s="19" t="s">
        <v>43</v>
      </c>
    </row>
    <row r="10" spans="1:21" x14ac:dyDescent="0.25">
      <c r="A10" s="15" t="s">
        <v>22</v>
      </c>
      <c r="B10" s="30">
        <v>0</v>
      </c>
      <c r="C10" s="30">
        <v>1</v>
      </c>
      <c r="D10" s="30"/>
      <c r="E10" s="30">
        <v>0.05</v>
      </c>
      <c r="F10" s="41">
        <f>F18</f>
        <v>6.6315789473684203E-2</v>
      </c>
      <c r="G10" s="42">
        <f>G18</f>
        <v>8.3730158730158738E-2</v>
      </c>
      <c r="H10" s="30">
        <v>0.08</v>
      </c>
      <c r="I10" s="30">
        <v>0.12</v>
      </c>
      <c r="J10" s="30"/>
      <c r="K10" s="30"/>
      <c r="L10" s="30"/>
    </row>
    <row r="11" spans="1:21" x14ac:dyDescent="0.25">
      <c r="A11" s="15" t="s">
        <v>8</v>
      </c>
      <c r="B11" s="29">
        <f>($M$4*B10-$M$5)/$O$7</f>
        <v>-0.33245382585751998</v>
      </c>
      <c r="C11" s="29">
        <f>($M$4*C10-$M$5)/$O$7</f>
        <v>4.6807387862796856</v>
      </c>
      <c r="D11" s="29"/>
      <c r="E11" s="29">
        <f>($M$4*E10-$M$5)/$O$7</f>
        <v>-8.1794195250659618E-2</v>
      </c>
      <c r="F11" s="29">
        <f>($M$4*F10-$M$5)/$O$7</f>
        <v>0</v>
      </c>
      <c r="G11" s="29">
        <f>($M$4*G10-$M$5)/$O$7</f>
        <v>8.7301587301587394E-2</v>
      </c>
      <c r="H11" s="29">
        <f>($M$4*H10-$M$5)/$O$7</f>
        <v>6.8601583113456543E-2</v>
      </c>
      <c r="I11" s="29">
        <f>($M$4*I10-$M$5)/$O$7</f>
        <v>0.26912928759894478</v>
      </c>
      <c r="J11" s="29"/>
      <c r="K11" s="29"/>
      <c r="L11" s="29"/>
      <c r="N11" s="19" t="s">
        <v>48</v>
      </c>
      <c r="Q11" s="19" t="s">
        <v>49</v>
      </c>
    </row>
    <row r="12" spans="1:21" x14ac:dyDescent="0.25">
      <c r="A12" s="15" t="s">
        <v>9</v>
      </c>
      <c r="B12" s="29">
        <f>(-$M$5*B10+$M$6)/$O$7</f>
        <v>2.7836411609498693E-2</v>
      </c>
      <c r="C12" s="29">
        <f>(-$M$5*C10+$M$6)/$O$7</f>
        <v>-0.30461741424802125</v>
      </c>
      <c r="D12" s="29"/>
      <c r="E12" s="29">
        <f>(-$M$5*E10+$M$6)/$O$7</f>
        <v>1.1213720316622697E-2</v>
      </c>
      <c r="F12" s="29">
        <f>(-$M$5*F10+$M$6)/$O$7</f>
        <v>5.7894736842105301E-3</v>
      </c>
      <c r="G12" s="29">
        <f>(-$M$5*G10+$M$6)/$O$7</f>
        <v>-3.2222831849278965E-18</v>
      </c>
      <c r="H12" s="29">
        <f>(-$M$5*H10+$M$6)/$O$7</f>
        <v>1.2401055408970982E-3</v>
      </c>
      <c r="I12" s="29">
        <f>(-$M$5*I10+$M$6)/$O$7</f>
        <v>-1.2058047493403699E-2</v>
      </c>
      <c r="J12" s="29"/>
      <c r="K12" s="29"/>
      <c r="L12" s="29"/>
      <c r="N12" s="21" t="s">
        <v>26</v>
      </c>
    </row>
    <row r="13" spans="1:21" ht="15.75" thickBot="1" x14ac:dyDescent="0.3">
      <c r="A13" s="15"/>
      <c r="B13" s="30" t="s">
        <v>24</v>
      </c>
      <c r="C13" s="30" t="s">
        <v>25</v>
      </c>
      <c r="D13" s="30" t="s">
        <v>54</v>
      </c>
      <c r="E13" s="30" t="s">
        <v>30</v>
      </c>
      <c r="F13" s="36" t="s">
        <v>26</v>
      </c>
      <c r="G13" s="30" t="s">
        <v>27</v>
      </c>
      <c r="H13" s="37" t="s">
        <v>28</v>
      </c>
      <c r="I13" s="30" t="s">
        <v>29</v>
      </c>
      <c r="J13" s="30" t="s">
        <v>55</v>
      </c>
      <c r="K13" s="30"/>
      <c r="L13" s="30"/>
      <c r="N13" s="30" t="s">
        <v>45</v>
      </c>
      <c r="O13" s="30" t="s">
        <v>46</v>
      </c>
      <c r="P13" s="30" t="s">
        <v>47</v>
      </c>
      <c r="Q13" s="30" t="s">
        <v>52</v>
      </c>
      <c r="R13" s="30" t="s">
        <v>50</v>
      </c>
      <c r="S13" s="30" t="s">
        <v>51</v>
      </c>
    </row>
    <row r="14" spans="1:21" x14ac:dyDescent="0.25">
      <c r="A14" s="15" t="s">
        <v>17</v>
      </c>
      <c r="B14" s="29">
        <f t="array" ref="B14:B16">B11*$K$4:$K$6+B12*$J$4:$J$6</f>
        <v>-0.41952506596306083</v>
      </c>
      <c r="C14" s="29">
        <f t="array" ref="C14:C16">C11*$K$4:$K$6+C12*$J$4:$J$6</f>
        <v>8.2875989445910303</v>
      </c>
      <c r="D14" s="29">
        <f>C14-B14</f>
        <v>8.7071240105540912</v>
      </c>
      <c r="E14" s="29">
        <f t="array" ref="E14:E16">E11*$K$4:$K$6+E12*$J$4:$J$6</f>
        <v>1.5831134564644023E-2</v>
      </c>
      <c r="F14" s="28">
        <f>J4/$M$4</f>
        <v>0.15789473684210525</v>
      </c>
      <c r="G14">
        <f>K4/$M$5</f>
        <v>0.30952380952380948</v>
      </c>
      <c r="H14" s="29">
        <f t="array" ref="H14:H16">H11*$K$4:$K$6+H12*$J$4:$J$6</f>
        <v>0.27704485488126673</v>
      </c>
      <c r="I14" s="29">
        <f t="array" ref="I14:I16">I11*$K$4:$K$6+I12*$J$4:$J$6</f>
        <v>0.62532981530343057</v>
      </c>
      <c r="J14" s="29">
        <v>0.4</v>
      </c>
      <c r="K14" s="29"/>
      <c r="L14" s="29"/>
      <c r="N14" s="38">
        <f t="array" ref="N14:N16">MMULT($C$4:$E$6,F14:F16)</f>
        <v>5.7894736842105301E-3</v>
      </c>
      <c r="O14" s="28">
        <f t="shared" ref="O14:P16" si="2">N14/$N$17</f>
        <v>7.6088591025268257E-2</v>
      </c>
      <c r="P14" s="28">
        <f t="shared" si="2"/>
        <v>1.0000000000000004</v>
      </c>
      <c r="Q14" s="38">
        <f t="shared" ref="Q14:S16" si="3">$F14*N14</f>
        <v>9.1412742382271524E-4</v>
      </c>
      <c r="R14" s="38">
        <f t="shared" si="3"/>
        <v>1.2013988056621303E-2</v>
      </c>
      <c r="S14" s="38">
        <f t="shared" si="3"/>
        <v>0.15789473684210534</v>
      </c>
    </row>
    <row r="15" spans="1:21" x14ac:dyDescent="0.25">
      <c r="A15" s="15" t="s">
        <v>18</v>
      </c>
      <c r="B15" s="29">
        <v>7.1240105540896881E-2</v>
      </c>
      <c r="C15" s="29">
        <v>6.1398416886543608</v>
      </c>
      <c r="D15" s="29">
        <f>C15-B15</f>
        <v>6.0686015831134643</v>
      </c>
      <c r="E15" s="29">
        <v>0.37467018469657043</v>
      </c>
      <c r="F15" s="28">
        <f>J5/$M$4</f>
        <v>0.47368421052631571</v>
      </c>
      <c r="G15">
        <f>K5/$M$5</f>
        <v>0.57936507936507942</v>
      </c>
      <c r="H15" s="29">
        <v>0.55672823218997425</v>
      </c>
      <c r="I15" s="29">
        <v>0.79947229551451293</v>
      </c>
      <c r="J15" s="29">
        <v>0.36</v>
      </c>
      <c r="K15" s="29"/>
      <c r="L15" s="29"/>
      <c r="N15" s="39">
        <v>5.7894736842105231E-3</v>
      </c>
      <c r="O15" s="28">
        <f t="shared" si="2"/>
        <v>7.6088591025268174E-2</v>
      </c>
      <c r="P15" s="28">
        <f t="shared" si="2"/>
        <v>0.99999999999999944</v>
      </c>
      <c r="Q15" s="39">
        <f t="shared" si="3"/>
        <v>2.742382271468142E-3</v>
      </c>
      <c r="R15" s="39">
        <f t="shared" si="3"/>
        <v>3.6041964169863869E-2</v>
      </c>
      <c r="S15" s="39">
        <f t="shared" si="3"/>
        <v>0.47368421052631543</v>
      </c>
    </row>
    <row r="16" spans="1:21" ht="15.75" thickBot="1" x14ac:dyDescent="0.3">
      <c r="A16" s="15" t="s">
        <v>19</v>
      </c>
      <c r="B16" s="29">
        <v>1.3482849604221643</v>
      </c>
      <c r="C16" s="29">
        <v>-13.427440633245391</v>
      </c>
      <c r="D16" s="29">
        <f>C16-B16</f>
        <v>-14.775725593667556</v>
      </c>
      <c r="E16" s="29">
        <v>0.60949868073878677</v>
      </c>
      <c r="F16" s="28">
        <f>J6/$M$4</f>
        <v>0.36842105263157898</v>
      </c>
      <c r="G16">
        <f>K6/$M$5</f>
        <v>0.11111111111111115</v>
      </c>
      <c r="H16" s="29">
        <v>0.16622691292876007</v>
      </c>
      <c r="I16" s="29">
        <v>-0.42480211081794206</v>
      </c>
      <c r="J16" s="29">
        <v>0.24</v>
      </c>
      <c r="K16" s="29"/>
      <c r="L16" s="29"/>
      <c r="N16" s="40">
        <v>5.7894736842105275E-3</v>
      </c>
      <c r="O16" s="28">
        <f t="shared" si="2"/>
        <v>7.6088591025268229E-2</v>
      </c>
      <c r="P16" s="28">
        <f t="shared" si="2"/>
        <v>1.0000000000000002</v>
      </c>
      <c r="Q16" s="40">
        <f t="shared" si="3"/>
        <v>2.1329639889196682E-3</v>
      </c>
      <c r="R16" s="40">
        <f t="shared" si="3"/>
        <v>2.8032638798783035E-2</v>
      </c>
      <c r="S16" s="40">
        <f t="shared" si="3"/>
        <v>0.36842105263157904</v>
      </c>
      <c r="U16" s="16"/>
    </row>
    <row r="17" spans="1:19" x14ac:dyDescent="0.25">
      <c r="A17" s="15"/>
      <c r="B17" s="15">
        <f t="shared" ref="B17:J17" si="4">SUM(B14:B16)</f>
        <v>1.0000000000000004</v>
      </c>
      <c r="C17" s="15">
        <f t="shared" si="4"/>
        <v>1</v>
      </c>
      <c r="D17" s="15">
        <f t="shared" si="4"/>
        <v>0</v>
      </c>
      <c r="E17" s="15">
        <f t="shared" si="4"/>
        <v>1.0000000000000013</v>
      </c>
      <c r="F17" s="15">
        <f t="shared" si="4"/>
        <v>1</v>
      </c>
      <c r="G17" s="15">
        <f t="shared" si="4"/>
        <v>1</v>
      </c>
      <c r="H17" s="15">
        <f t="shared" si="4"/>
        <v>1.0000000000000011</v>
      </c>
      <c r="I17" s="15">
        <f t="shared" si="4"/>
        <v>1.0000000000000013</v>
      </c>
      <c r="J17" s="15">
        <f t="shared" si="4"/>
        <v>1</v>
      </c>
      <c r="K17" s="15"/>
      <c r="L17" s="15"/>
      <c r="N17" s="33">
        <f t="array" ref="N17">SQRT(MMULT(TRANSPOSE(F14:F16),N14:N16))</f>
        <v>7.6088591025268215E-2</v>
      </c>
      <c r="Q17" s="33">
        <f>SQRT(SUM(Q14:Q16))</f>
        <v>7.6088591025268215E-2</v>
      </c>
      <c r="R17" s="33">
        <f>SUM(R14:R16)</f>
        <v>7.6088591025268201E-2</v>
      </c>
      <c r="S17" s="28">
        <f>SUM(S14:S16)</f>
        <v>0.99999999999999978</v>
      </c>
    </row>
    <row r="18" spans="1:19" x14ac:dyDescent="0.25">
      <c r="A18" s="15" t="s">
        <v>22</v>
      </c>
      <c r="B18" s="29">
        <f t="array" ref="B18">MMULT(TRANSPOSE(B14:B16),$B$4:$B$6)</f>
        <v>-1.3877787807814457E-17</v>
      </c>
      <c r="C18" s="29">
        <f t="array" ref="C18">MMULT(TRANSPOSE(C14:C16),$B$4:$B$6)</f>
        <v>1.0000000000000004</v>
      </c>
      <c r="D18" s="29"/>
      <c r="E18" s="29">
        <f t="array" ref="E18">MMULT(TRANSPOSE(E14:E16),$B$4:$B$6)</f>
        <v>5.0000000000000086E-2</v>
      </c>
      <c r="F18" s="28">
        <f t="array" ref="F18">MMULT(TRANSPOSE(F14:F16),$B$4:$B$6)</f>
        <v>6.6315789473684203E-2</v>
      </c>
      <c r="G18" s="29">
        <f t="array" ref="G18">MMULT(TRANSPOSE(G14:G16),$B$4:$B$6)</f>
        <v>8.3730158730158738E-2</v>
      </c>
      <c r="H18" s="29">
        <f t="array" ref="H18">MMULT(TRANSPOSE(H14:H16),$B$4:$B$6)</f>
        <v>8.0000000000000085E-2</v>
      </c>
      <c r="I18" s="29">
        <f t="array" ref="I18">MMULT(TRANSPOSE(I14:I16),$B$4:$B$6)</f>
        <v>0.12000000000000013</v>
      </c>
      <c r="J18" s="29">
        <f t="array" ref="J18">MMULT(TRANSPOSE(J14:J16),$B$4:$B$6)</f>
        <v>0.08</v>
      </c>
      <c r="K18" s="29"/>
      <c r="L18" s="29"/>
      <c r="N18" s="29"/>
    </row>
    <row r="19" spans="1:19" x14ac:dyDescent="0.25">
      <c r="A19" s="15" t="s">
        <v>23</v>
      </c>
      <c r="B19" s="29">
        <f t="shared" ref="B19:I19" si="5">B11*B18+B12</f>
        <v>2.7836411609498696E-2</v>
      </c>
      <c r="C19" s="29">
        <f t="shared" si="5"/>
        <v>4.3761213720316663</v>
      </c>
      <c r="D19" s="29"/>
      <c r="E19" s="29">
        <f t="shared" si="5"/>
        <v>7.1240105540897091E-3</v>
      </c>
      <c r="F19" s="33">
        <f t="shared" si="5"/>
        <v>5.7894736842105301E-3</v>
      </c>
      <c r="G19" s="29">
        <f t="shared" si="5"/>
        <v>7.3097757621567198E-3</v>
      </c>
      <c r="H19" s="33">
        <f t="shared" si="5"/>
        <v>6.7282321899736269E-3</v>
      </c>
      <c r="I19" s="29">
        <f t="shared" si="5"/>
        <v>2.023746701846971E-2</v>
      </c>
      <c r="J19" s="43">
        <f t="array" ref="J19">MMULT(TRANSPOSE(J14:J16),MMULT(C4:$E$6,J14:J16))</f>
        <v>1.1312000000000001E-2</v>
      </c>
      <c r="K19" s="43"/>
      <c r="L19" s="29"/>
    </row>
    <row r="20" spans="1:19" x14ac:dyDescent="0.25">
      <c r="A20" s="15" t="s">
        <v>21</v>
      </c>
      <c r="B20" s="29">
        <f t="shared" ref="B20:J20" si="6">SQRT(B19)</f>
        <v>0.16684247543565967</v>
      </c>
      <c r="C20" s="29">
        <f t="shared" si="6"/>
        <v>2.0919181083473766</v>
      </c>
      <c r="D20" s="29"/>
      <c r="E20" s="29">
        <f t="shared" si="6"/>
        <v>8.4403853905433188E-2</v>
      </c>
      <c r="F20" s="33">
        <f t="shared" si="6"/>
        <v>7.6088591025268243E-2</v>
      </c>
      <c r="G20" s="29">
        <f t="shared" si="6"/>
        <v>8.5497226634299192E-2</v>
      </c>
      <c r="H20" s="28">
        <f t="shared" si="6"/>
        <v>8.2025801977022E-2</v>
      </c>
      <c r="I20" s="29">
        <f t="shared" si="6"/>
        <v>0.14225845148345215</v>
      </c>
      <c r="J20" s="29">
        <f t="shared" si="6"/>
        <v>0.10635788640246666</v>
      </c>
      <c r="K20" s="29"/>
      <c r="L20" s="29"/>
    </row>
    <row r="21" spans="1:19" x14ac:dyDescent="0.25">
      <c r="E21" s="35" t="s">
        <v>32</v>
      </c>
      <c r="F21" s="35"/>
      <c r="G21" s="35" t="s">
        <v>31</v>
      </c>
      <c r="H21" s="35" t="s">
        <v>31</v>
      </c>
      <c r="I21" s="35" t="s">
        <v>31</v>
      </c>
      <c r="J21" s="35"/>
      <c r="K21" s="35"/>
      <c r="L21" s="35"/>
    </row>
    <row r="22" spans="1:19" x14ac:dyDescent="0.25">
      <c r="B22" s="19" t="s">
        <v>44</v>
      </c>
      <c r="G22" s="30" t="s">
        <v>33</v>
      </c>
      <c r="H22" s="30" t="s">
        <v>34</v>
      </c>
      <c r="I22" s="30" t="s">
        <v>35</v>
      </c>
      <c r="J22" s="30"/>
      <c r="K22" s="30"/>
      <c r="L22" s="30"/>
    </row>
    <row r="23" spans="1:19" x14ac:dyDescent="0.25">
      <c r="B23" s="17"/>
      <c r="C23" s="17"/>
      <c r="D23" s="17"/>
      <c r="G23" s="31">
        <f>-G12/G11</f>
        <v>3.6909789209174048E-17</v>
      </c>
      <c r="H23" s="31">
        <f t="shared" ref="H23:I23" si="7">-H12/H11</f>
        <v>-1.8076923076923063E-2</v>
      </c>
      <c r="I23" s="31">
        <f t="shared" si="7"/>
        <v>4.480392156862744E-2</v>
      </c>
      <c r="J23" s="31"/>
      <c r="K23" s="31"/>
      <c r="L23" s="31"/>
      <c r="N23" s="15"/>
      <c r="P23" s="15"/>
    </row>
    <row r="24" spans="1:19" x14ac:dyDescent="0.25">
      <c r="B24" s="17"/>
      <c r="C24" s="17"/>
      <c r="D24" s="17"/>
      <c r="F24" s="15" t="s">
        <v>8</v>
      </c>
      <c r="G24" s="29">
        <f>($M$4*G23-$M$5)/$O$7</f>
        <v>-0.33245382585751976</v>
      </c>
      <c r="H24" s="29">
        <f>($M$4*H23-$M$5)/$O$7</f>
        <v>-0.42307692307692318</v>
      </c>
      <c r="I24" s="29">
        <f>($M$4*I23-$M$5)/$O$7</f>
        <v>-0.10784313725490204</v>
      </c>
      <c r="J24" s="29"/>
      <c r="K24" s="29"/>
      <c r="L24" s="29"/>
      <c r="N24" s="15"/>
      <c r="P24" s="15"/>
    </row>
    <row r="25" spans="1:19" x14ac:dyDescent="0.25">
      <c r="B25" s="17"/>
      <c r="C25" s="17"/>
      <c r="D25" s="17"/>
      <c r="F25" s="15" t="s">
        <v>9</v>
      </c>
      <c r="G25" s="29">
        <f>(-$M$5*G23+$M$6)/$O$7</f>
        <v>2.7836411609498679E-2</v>
      </c>
      <c r="H25" s="29">
        <f>(-$M$5*H23+$M$6)/$O$7</f>
        <v>3.3846153846153859E-2</v>
      </c>
      <c r="I25" s="29">
        <f>(-$M$5*I23+$M$6)/$O$7</f>
        <v>1.2941176470588246E-2</v>
      </c>
      <c r="J25" s="29"/>
      <c r="K25" s="29"/>
      <c r="L25" s="29"/>
      <c r="N25" s="15"/>
      <c r="P25" s="15"/>
    </row>
    <row r="26" spans="1:19" x14ac:dyDescent="0.25">
      <c r="B26" s="17"/>
      <c r="C26" s="17"/>
      <c r="D26" s="17"/>
      <c r="F26" s="15"/>
      <c r="G26" s="30" t="s">
        <v>36</v>
      </c>
      <c r="H26" s="30" t="s">
        <v>37</v>
      </c>
      <c r="I26" s="30" t="s">
        <v>38</v>
      </c>
      <c r="J26" s="30"/>
      <c r="K26" s="30"/>
      <c r="L26" s="30"/>
      <c r="N26" s="15"/>
      <c r="P26" s="15"/>
    </row>
    <row r="27" spans="1:19" x14ac:dyDescent="0.25">
      <c r="B27" s="17"/>
      <c r="C27" s="17"/>
      <c r="D27" s="17"/>
      <c r="F27" s="15" t="s">
        <v>17</v>
      </c>
      <c r="G27" s="29">
        <f t="array" ref="G27:G29">G24*$K$4:$K$6+G25*$J$4:$J$6</f>
        <v>-0.4195250659630605</v>
      </c>
      <c r="H27" s="29">
        <f t="array" ref="H27:H29">H24*$K$4:$K$6+H25*$J$4:$J$6</f>
        <v>-0.57692307692307676</v>
      </c>
      <c r="I27" s="29">
        <f t="array" ref="I27:I29">I24*$K$4:$K$6+I25*$J$4:$J$6</f>
        <v>-2.9411764705882248E-2</v>
      </c>
      <c r="J27" s="29"/>
      <c r="K27" s="29"/>
      <c r="L27" s="29"/>
      <c r="N27" s="15"/>
      <c r="P27" s="15"/>
    </row>
    <row r="28" spans="1:19" x14ac:dyDescent="0.25">
      <c r="B28" s="17"/>
      <c r="C28" s="17"/>
      <c r="D28" s="17"/>
      <c r="F28" s="15" t="s">
        <v>18</v>
      </c>
      <c r="G28" s="29">
        <v>7.1240105540896881E-2</v>
      </c>
      <c r="H28" s="29">
        <v>-3.8461538461538325E-2</v>
      </c>
      <c r="I28" s="29">
        <v>0.34313725490196112</v>
      </c>
      <c r="J28" s="29"/>
      <c r="K28" s="29"/>
      <c r="L28" s="29"/>
      <c r="N28" s="15"/>
      <c r="P28" s="15"/>
    </row>
    <row r="29" spans="1:19" x14ac:dyDescent="0.25">
      <c r="B29" s="17"/>
      <c r="C29" s="17"/>
      <c r="D29" s="17"/>
      <c r="F29" s="15" t="s">
        <v>19</v>
      </c>
      <c r="G29" s="29">
        <v>1.3482849604221636</v>
      </c>
      <c r="H29" s="29">
        <v>1.6153846153846163</v>
      </c>
      <c r="I29" s="29">
        <v>0.68627450980392224</v>
      </c>
      <c r="J29" s="29"/>
      <c r="K29" s="29"/>
      <c r="L29" s="29"/>
      <c r="N29" s="15"/>
      <c r="P29" s="15"/>
    </row>
    <row r="30" spans="1:19" x14ac:dyDescent="0.25">
      <c r="B30" s="17"/>
      <c r="C30" s="17"/>
      <c r="D30" s="17"/>
      <c r="F30" s="15"/>
      <c r="G30" s="31">
        <f>SUM(G27:G29)</f>
        <v>1</v>
      </c>
      <c r="H30" s="31">
        <f t="shared" ref="H30:I30" si="8">SUM(H27:H29)</f>
        <v>1.0000000000000013</v>
      </c>
      <c r="I30" s="31">
        <f t="shared" si="8"/>
        <v>1.0000000000000011</v>
      </c>
      <c r="J30" s="31"/>
      <c r="K30" s="31"/>
      <c r="L30" s="31"/>
      <c r="N30" s="15"/>
      <c r="P30" s="15"/>
    </row>
    <row r="31" spans="1:19" x14ac:dyDescent="0.25">
      <c r="B31" s="17"/>
      <c r="C31" s="17"/>
      <c r="D31" s="17"/>
      <c r="F31" s="15" t="s">
        <v>39</v>
      </c>
      <c r="G31" s="29">
        <f t="array" ref="G31">MMULT(TRANSPOSE(G27:G29),$B$4:$B$6)</f>
        <v>6.9388939039072284E-18</v>
      </c>
      <c r="H31" s="29">
        <f t="array" ref="H31">MMULT(TRANSPOSE(H27:H29),$B$4:$B$6)</f>
        <v>-1.8076923076923018E-2</v>
      </c>
      <c r="I31" s="29">
        <f t="array" ref="I31">MMULT(TRANSPOSE(I27:I29),$B$4:$B$6)</f>
        <v>4.480392156862751E-2</v>
      </c>
      <c r="J31" s="29"/>
      <c r="K31" s="29"/>
      <c r="L31" s="29"/>
      <c r="N31" s="15"/>
      <c r="P31" s="15"/>
    </row>
    <row r="32" spans="1:19" x14ac:dyDescent="0.25">
      <c r="B32" s="17"/>
      <c r="C32" s="17"/>
      <c r="D32" s="17"/>
      <c r="F32" s="15" t="s">
        <v>40</v>
      </c>
      <c r="G32" s="29">
        <f>G24*G31+G25</f>
        <v>2.7836411609498676E-2</v>
      </c>
      <c r="H32" s="29">
        <f t="shared" ref="H32:I32" si="9">H24*H31+H25</f>
        <v>4.1494082840236673E-2</v>
      </c>
      <c r="I32" s="29">
        <f t="shared" si="9"/>
        <v>8.1093810073048847E-3</v>
      </c>
      <c r="J32" s="29"/>
      <c r="K32" s="29"/>
      <c r="L32" s="29"/>
      <c r="N32" s="15"/>
      <c r="P32" s="15"/>
    </row>
    <row r="33" spans="1:16" x14ac:dyDescent="0.25">
      <c r="B33" s="17"/>
      <c r="C33" s="17"/>
      <c r="D33" s="17"/>
      <c r="F33" s="15" t="s">
        <v>41</v>
      </c>
      <c r="G33" s="29">
        <f>SQRT(G32)</f>
        <v>0.16684247543565961</v>
      </c>
      <c r="H33" s="29">
        <f t="shared" ref="H33:I33" si="10">SQRT(H32)</f>
        <v>0.20370096425946704</v>
      </c>
      <c r="I33" s="29">
        <f t="shared" si="10"/>
        <v>9.0052101626252365E-2</v>
      </c>
      <c r="J33" s="29"/>
      <c r="K33" s="29"/>
      <c r="L33" s="29"/>
      <c r="N33" s="15"/>
      <c r="P33" s="15"/>
    </row>
    <row r="34" spans="1:16" x14ac:dyDescent="0.25">
      <c r="B34" s="17"/>
    </row>
    <row r="35" spans="1:16" x14ac:dyDescent="0.25">
      <c r="A35" s="19" t="s">
        <v>42</v>
      </c>
    </row>
    <row r="36" spans="1:16" x14ac:dyDescent="0.25">
      <c r="A36" s="15" t="s">
        <v>17</v>
      </c>
      <c r="B36" s="15" t="s">
        <v>18</v>
      </c>
      <c r="C36" s="15" t="s">
        <v>19</v>
      </c>
      <c r="D36" s="15" t="s">
        <v>20</v>
      </c>
      <c r="E36" s="30" t="s">
        <v>21</v>
      </c>
      <c r="F36" s="30" t="s">
        <v>22</v>
      </c>
      <c r="G36" s="30" t="s">
        <v>53</v>
      </c>
    </row>
    <row r="37" spans="1:16" x14ac:dyDescent="0.25">
      <c r="A37" s="17">
        <v>8.2481453019995321E-2</v>
      </c>
      <c r="B37" s="17">
        <v>1.0290910910752959E-3</v>
      </c>
      <c r="C37" s="17">
        <v>0.91648945588892938</v>
      </c>
      <c r="D37" s="20">
        <f t="shared" ref="D37:D68" si="11">SUM(A37:C37)</f>
        <v>1</v>
      </c>
      <c r="E37" s="17">
        <f t="array" ref="E37">SQRT(MMULT(A37:C37,MMULT($C$4:$E$6,TRANSPOSE(A37:C37))))</f>
        <v>0.14262932670011014</v>
      </c>
      <c r="F37" s="17">
        <f t="array" ref="F37">MMULT(A37:C37,$B$4:$B$6)</f>
        <v>3.664997079615339E-2</v>
      </c>
      <c r="G37" s="28">
        <f t="shared" ref="G37:G68" si="12">SQRT($O$4*F37^2-2*$O$5*F37+$O$6)</f>
        <v>0.10100192064517313</v>
      </c>
      <c r="H37" t="s">
        <v>32</v>
      </c>
    </row>
    <row r="38" spans="1:16" x14ac:dyDescent="0.25">
      <c r="A38" s="17">
        <v>2.2944995757462228E-2</v>
      </c>
      <c r="B38" s="17">
        <v>0.11456969258330985</v>
      </c>
      <c r="C38" s="17">
        <v>0.86248531165922793</v>
      </c>
      <c r="D38" s="20">
        <f t="shared" si="11"/>
        <v>1</v>
      </c>
      <c r="E38" s="17">
        <f t="array" ref="E38">SQRT(MMULT(A38:C38,MMULT($C$4:$E$6,TRANSPOSE(A38:C38))))</f>
        <v>0.11819936456053427</v>
      </c>
      <c r="F38" s="17">
        <f t="array" ref="F38">MMULT(A38:C38,$B$4:$B$6)</f>
        <v>3.7564084289762469E-2</v>
      </c>
      <c r="G38" s="28">
        <f t="shared" si="12"/>
        <v>9.9667859669727701E-2</v>
      </c>
      <c r="H38" t="s">
        <v>32</v>
      </c>
    </row>
    <row r="39" spans="1:16" x14ac:dyDescent="0.25">
      <c r="A39" s="17">
        <v>6.7272135440142988E-2</v>
      </c>
      <c r="B39" s="17">
        <v>0.11360031477989729</v>
      </c>
      <c r="C39" s="17">
        <v>0.81912754977995972</v>
      </c>
      <c r="D39" s="20">
        <f t="shared" si="11"/>
        <v>1</v>
      </c>
      <c r="E39" s="17">
        <f t="array" ref="E39">SQRT(MMULT(A39:C39,MMULT($C$4:$E$6,TRANSPOSE(A39:C39))))</f>
        <v>0.11854611044398107</v>
      </c>
      <c r="F39" s="17">
        <f t="array" ref="F39">MMULT(A39:C39,$B$4:$B$6)</f>
        <v>4.1061786574206303E-2</v>
      </c>
      <c r="G39" s="28">
        <f t="shared" si="12"/>
        <v>9.4798263582574108E-2</v>
      </c>
      <c r="H39" t="s">
        <v>32</v>
      </c>
    </row>
    <row r="40" spans="1:16" x14ac:dyDescent="0.25">
      <c r="A40" s="17">
        <v>0.10746631303470167</v>
      </c>
      <c r="B40" s="17">
        <v>0.14234610086254817</v>
      </c>
      <c r="C40" s="17">
        <v>0.75018758610275016</v>
      </c>
      <c r="D40" s="20">
        <f t="shared" si="11"/>
        <v>1</v>
      </c>
      <c r="E40" s="17">
        <f t="array" ref="E40">SQRT(MMULT(A40:C40,MMULT($C$4:$E$6,TRANSPOSE(A40:C40))))</f>
        <v>0.11383605272168769</v>
      </c>
      <c r="F40" s="17">
        <f t="array" ref="F40">MMULT(A40:C40,$B$4:$B$6)</f>
        <v>4.5714610085903537E-2</v>
      </c>
      <c r="G40" s="28">
        <f t="shared" si="12"/>
        <v>8.8978175430789119E-2</v>
      </c>
      <c r="H40" t="s">
        <v>32</v>
      </c>
    </row>
    <row r="41" spans="1:16" x14ac:dyDescent="0.25">
      <c r="A41" s="17">
        <v>0.11816428645995569</v>
      </c>
      <c r="B41" s="17">
        <v>0.19379462605452502</v>
      </c>
      <c r="C41" s="17">
        <v>0.68804108748551929</v>
      </c>
      <c r="D41" s="20">
        <f t="shared" si="11"/>
        <v>1</v>
      </c>
      <c r="E41" s="17">
        <f t="array" ref="E41">SQRT(MMULT(A41:C41,MMULT($C$4:$E$6,TRANSPOSE(A41:C41))))</f>
        <v>0.10451340201254848</v>
      </c>
      <c r="F41" s="17">
        <f t="array" ref="F41">MMULT(A41:C41,$B$4:$B$6)</f>
        <v>4.9142874219522709E-2</v>
      </c>
      <c r="G41" s="28">
        <f t="shared" si="12"/>
        <v>8.5252034557177184E-2</v>
      </c>
      <c r="H41" t="s">
        <v>32</v>
      </c>
    </row>
    <row r="42" spans="1:16" x14ac:dyDescent="0.25">
      <c r="A42" s="17">
        <v>2.0475905220739166E-2</v>
      </c>
      <c r="B42" s="17">
        <v>0.4013796389978741</v>
      </c>
      <c r="C42" s="17">
        <v>0.57814445578138673</v>
      </c>
      <c r="D42" s="20">
        <f t="shared" si="11"/>
        <v>1</v>
      </c>
      <c r="E42" s="17">
        <f t="array" ref="E42">SQRT(MMULT(A42:C42,MMULT($C$4:$E$6,TRANSPOSE(A42:C42))))</f>
        <v>8.3012203838485926E-2</v>
      </c>
      <c r="F42" s="17">
        <f t="array" ref="F42">MMULT(A42:C42,$B$4:$B$6)</f>
        <v>5.1707054367552838E-2</v>
      </c>
      <c r="G42" s="28">
        <f t="shared" si="12"/>
        <v>8.2821282858941594E-2</v>
      </c>
      <c r="H42" t="s">
        <v>32</v>
      </c>
    </row>
    <row r="43" spans="1:16" x14ac:dyDescent="0.25">
      <c r="A43" s="17">
        <v>5.082724079402956E-2</v>
      </c>
      <c r="B43" s="17">
        <v>0.35824249484769211</v>
      </c>
      <c r="C43" s="17">
        <v>0.59093026435827833</v>
      </c>
      <c r="D43" s="20">
        <f t="shared" si="11"/>
        <v>1</v>
      </c>
      <c r="E43" s="17">
        <f t="array" ref="E43">SQRT(MMULT(A43:C43,MMULT($C$4:$E$6,TRANSPOSE(A43:C43))))</f>
        <v>8.3161010513583461E-2</v>
      </c>
      <c r="F43" s="17">
        <f t="array" ref="F43">MMULT(A43:C43,$B$4:$B$6)</f>
        <v>5.1978304005906972E-2</v>
      </c>
      <c r="G43" s="28">
        <f t="shared" si="12"/>
        <v>8.2583309762270962E-2</v>
      </c>
      <c r="H43" t="s">
        <v>32</v>
      </c>
    </row>
    <row r="44" spans="1:16" x14ac:dyDescent="0.25">
      <c r="A44" s="17">
        <v>4.6792083804519047E-2</v>
      </c>
      <c r="B44" s="17">
        <v>0.36605223689435462</v>
      </c>
      <c r="C44" s="17">
        <v>0.58715567930112633</v>
      </c>
      <c r="D44" s="20">
        <f t="shared" si="11"/>
        <v>1</v>
      </c>
      <c r="E44" s="17">
        <f t="array" ref="E44">SQRT(MMULT(A44:C44,MMULT($C$4:$E$6,TRANSPOSE(A44:C44))))</f>
        <v>8.2841406702182624E-2</v>
      </c>
      <c r="F44" s="17">
        <f t="array" ref="F44">MMULT(A44:C44,$B$4:$B$6)</f>
        <v>5.2045978549079254E-2</v>
      </c>
      <c r="G44" s="28">
        <f t="shared" si="12"/>
        <v>8.2524527154106228E-2</v>
      </c>
      <c r="H44" t="s">
        <v>32</v>
      </c>
    </row>
    <row r="45" spans="1:16" x14ac:dyDescent="0.25">
      <c r="A45" s="17">
        <v>0.21192742792871611</v>
      </c>
      <c r="B45" s="17">
        <v>0.13843556549375646</v>
      </c>
      <c r="C45" s="17">
        <v>0.64963700657752743</v>
      </c>
      <c r="D45" s="20">
        <f t="shared" si="11"/>
        <v>1</v>
      </c>
      <c r="E45" s="17">
        <f t="array" ref="E45">SQRT(MMULT(A45:C45,MMULT($C$4:$E$6,TRANSPOSE(A45:C45))))</f>
        <v>0.12065088820757121</v>
      </c>
      <c r="F45" s="17">
        <f t="array" ref="F45">MMULT(A45:C45,$B$4:$B$6)</f>
        <v>5.3875972508985112E-2</v>
      </c>
      <c r="G45" s="28">
        <f t="shared" si="12"/>
        <v>8.1026294861178252E-2</v>
      </c>
      <c r="H45" t="s">
        <v>32</v>
      </c>
    </row>
    <row r="46" spans="1:16" x14ac:dyDescent="0.25">
      <c r="A46" s="17">
        <v>0.21258506034453994</v>
      </c>
      <c r="B46" s="17">
        <v>0.14362550151031928</v>
      </c>
      <c r="C46" s="17">
        <v>0.64378943814514078</v>
      </c>
      <c r="D46" s="20">
        <f t="shared" si="11"/>
        <v>1</v>
      </c>
      <c r="E46" s="17">
        <f t="array" ref="E46">SQRT(MMULT(A46:C46,MMULT($C$4:$E$6,TRANSPOSE(A46:C46))))</f>
        <v>0.11965236677118114</v>
      </c>
      <c r="F46" s="17">
        <f t="array" ref="F46">MMULT(A46:C46,$B$4:$B$6)</f>
        <v>5.418807990307916E-2</v>
      </c>
      <c r="G46" s="28">
        <f t="shared" si="12"/>
        <v>8.0788741594475633E-2</v>
      </c>
      <c r="H46" t="s">
        <v>32</v>
      </c>
    </row>
    <row r="47" spans="1:16" x14ac:dyDescent="0.25">
      <c r="A47" s="17">
        <v>0.19845571549408758</v>
      </c>
      <c r="B47" s="17">
        <v>0.24530960277095248</v>
      </c>
      <c r="C47" s="17">
        <v>0.55623468173495993</v>
      </c>
      <c r="D47" s="20">
        <f t="shared" si="11"/>
        <v>1</v>
      </c>
      <c r="E47" s="17">
        <f t="array" ref="E47">SQRT(MMULT(A47:C47,MMULT($C$4:$E$6,TRANSPOSE(A47:C47))))</f>
        <v>9.954675519510843E-2</v>
      </c>
      <c r="F47" s="17">
        <f t="array" ref="F47">MMULT(A47:C47,$B$4:$B$6)</f>
        <v>5.8141937378074632E-2</v>
      </c>
      <c r="G47" s="28">
        <f t="shared" si="12"/>
        <v>7.8258637846213883E-2</v>
      </c>
      <c r="H47" t="s">
        <v>32</v>
      </c>
    </row>
    <row r="48" spans="1:16" x14ac:dyDescent="0.25">
      <c r="A48" s="17">
        <v>8.8806584196378879E-2</v>
      </c>
      <c r="B48" s="17">
        <v>0.4851833852010381</v>
      </c>
      <c r="C48" s="17">
        <v>0.42601003060258302</v>
      </c>
      <c r="D48" s="20">
        <f t="shared" si="11"/>
        <v>1</v>
      </c>
      <c r="E48" s="17">
        <f t="array" ref="E48">SQRT(MMULT(A48:C48,MMULT($C$4:$E$6,TRANSPOSE(A48:C48))))</f>
        <v>7.8210603469437229E-2</v>
      </c>
      <c r="F48" s="17">
        <f t="array" ref="F48">MMULT(A48:C48,$B$4:$B$6)</f>
        <v>6.1363695995762219E-2</v>
      </c>
      <c r="G48" s="28">
        <f t="shared" si="12"/>
        <v>7.6892219104017279E-2</v>
      </c>
      <c r="H48" t="s">
        <v>32</v>
      </c>
    </row>
    <row r="49" spans="1:8" x14ac:dyDescent="0.25">
      <c r="A49" s="17">
        <v>6.8083407373326188E-2</v>
      </c>
      <c r="B49" s="17">
        <v>0.54569415505652052</v>
      </c>
      <c r="C49" s="17">
        <v>0.38622243757015329</v>
      </c>
      <c r="D49" s="20">
        <f t="shared" si="11"/>
        <v>1</v>
      </c>
      <c r="E49" s="17">
        <f t="array" ref="E49">SQRT(MMULT(A49:C49,MMULT($C$4:$E$6,TRANSPOSE(A49:C49))))</f>
        <v>8.3036803769074297E-2</v>
      </c>
      <c r="F49" s="17">
        <f t="array" ref="F49">MMULT(A49:C49,$B$4:$B$6)</f>
        <v>6.2731380342692128E-2</v>
      </c>
      <c r="G49" s="28">
        <f t="shared" si="12"/>
        <v>7.6510673287035244E-2</v>
      </c>
      <c r="H49" t="s">
        <v>32</v>
      </c>
    </row>
    <row r="50" spans="1:8" x14ac:dyDescent="0.25">
      <c r="A50" s="17">
        <v>0.3436471464834846</v>
      </c>
      <c r="B50" s="17">
        <v>0.1090417407108133</v>
      </c>
      <c r="C50" s="17">
        <v>0.5473111128057021</v>
      </c>
      <c r="D50" s="20">
        <f t="shared" si="11"/>
        <v>1</v>
      </c>
      <c r="E50" s="17">
        <f t="array" ref="E50">SQRT(MMULT(A50:C50,MMULT($C$4:$E$6,TRANSPOSE(A50:C50))))</f>
        <v>0.14098414449156427</v>
      </c>
      <c r="F50" s="17">
        <f t="array" ref="F50">MMULT(A50:C50,$B$4:$B$6)</f>
        <v>6.2943858754219428E-2</v>
      </c>
      <c r="G50" s="28">
        <f t="shared" si="12"/>
        <v>7.6462234253237379E-2</v>
      </c>
      <c r="H50" t="s">
        <v>32</v>
      </c>
    </row>
    <row r="51" spans="1:8" x14ac:dyDescent="0.25">
      <c r="A51" s="17">
        <v>0.11200206777655852</v>
      </c>
      <c r="B51" s="17">
        <v>0.50349144554767256</v>
      </c>
      <c r="C51" s="17">
        <v>0.38450648667576892</v>
      </c>
      <c r="D51" s="20">
        <f t="shared" si="11"/>
        <v>1</v>
      </c>
      <c r="E51" s="17">
        <f t="array" ref="E51">SQRT(MMULT(A51:C51,MMULT($C$4:$E$6,TRANSPOSE(A51:C51))))</f>
        <v>7.7670793994429888E-2</v>
      </c>
      <c r="F51" s="32">
        <f t="array" ref="F51">MMULT(A51:C51,$B$4:$B$6)</f>
        <v>6.413473769950831E-2</v>
      </c>
      <c r="G51" s="33">
        <f t="shared" si="12"/>
        <v>7.6245140012338161E-2</v>
      </c>
      <c r="H51" s="16" t="s">
        <v>31</v>
      </c>
    </row>
    <row r="52" spans="1:8" x14ac:dyDescent="0.25">
      <c r="A52" s="17">
        <v>0.16742365206858589</v>
      </c>
      <c r="B52" s="17">
        <v>0.41921555798897392</v>
      </c>
      <c r="C52" s="17">
        <v>0.41336078994244019</v>
      </c>
      <c r="D52" s="20">
        <f t="shared" si="11"/>
        <v>1</v>
      </c>
      <c r="E52" s="17">
        <f t="array" ref="E52">SQRT(MMULT(A52:C52,MMULT($C$4:$E$6,TRANSPOSE(A52:C52))))</f>
        <v>7.761031614599731E-2</v>
      </c>
      <c r="F52" s="32">
        <f t="array" ref="F52">MMULT(A52:C52,$B$4:$B$6)</f>
        <v>6.4354670064935574E-2</v>
      </c>
      <c r="G52" s="33">
        <f t="shared" si="12"/>
        <v>7.621518463884322E-2</v>
      </c>
      <c r="H52" s="16" t="s">
        <v>31</v>
      </c>
    </row>
    <row r="53" spans="1:8" x14ac:dyDescent="0.25">
      <c r="A53" s="17">
        <v>0.28114502825679877</v>
      </c>
      <c r="B53" s="17">
        <v>0.24367594761662026</v>
      </c>
      <c r="C53" s="17">
        <v>0.47517902412658097</v>
      </c>
      <c r="D53" s="20">
        <f t="shared" si="11"/>
        <v>1</v>
      </c>
      <c r="E53" s="17">
        <f t="array" ref="E53">SQRT(MMULT(A53:C53,MMULT($C$4:$E$6,TRANSPOSE(A53:C53))))</f>
        <v>0.10741564705370782</v>
      </c>
      <c r="F53" s="32">
        <f t="array" ref="F53">MMULT(A53:C53,$B$4:$B$6)</f>
        <v>6.467539964137492E-2</v>
      </c>
      <c r="G53" s="33">
        <f t="shared" si="12"/>
        <v>7.6177185416242479E-2</v>
      </c>
      <c r="H53" s="16" t="s">
        <v>31</v>
      </c>
    </row>
    <row r="54" spans="1:8" x14ac:dyDescent="0.25">
      <c r="A54" s="17">
        <v>7.8332089130609961E-2</v>
      </c>
      <c r="B54" s="17">
        <v>0.59687922431343898</v>
      </c>
      <c r="C54" s="17">
        <v>0.32478868655595106</v>
      </c>
      <c r="D54" s="20">
        <f t="shared" si="11"/>
        <v>1</v>
      </c>
      <c r="E54" s="17">
        <f t="array" ref="E54">SQRT(MMULT(A54:C54,MMULT($C$4:$E$6,TRANSPOSE(A54:C54))))</f>
        <v>8.7314066665533957E-2</v>
      </c>
      <c r="F54" s="32">
        <f t="array" ref="F54">MMULT(A54:C54,$B$4:$B$6)</f>
        <v>6.6110528346120745E-2</v>
      </c>
      <c r="G54" s="33">
        <f t="shared" si="12"/>
        <v>7.608997897683914E-2</v>
      </c>
      <c r="H54" s="16" t="s">
        <v>31</v>
      </c>
    </row>
    <row r="55" spans="1:8" x14ac:dyDescent="0.25">
      <c r="A55" s="17">
        <v>0.38796908423828458</v>
      </c>
      <c r="B55" s="17">
        <v>0.12571655571434526</v>
      </c>
      <c r="C55" s="17">
        <v>0.48631436004737016</v>
      </c>
      <c r="D55" s="20">
        <f t="shared" si="11"/>
        <v>1</v>
      </c>
      <c r="E55" s="17">
        <f t="array" ref="E55">SQRT(MMULT(A55:C55,MMULT($C$4:$E$6,TRANSPOSE(A55:C55))))</f>
        <v>0.14367869523177371</v>
      </c>
      <c r="F55" s="32">
        <f t="array" ref="F55">MMULT(A55:C55,$B$4:$B$6)</f>
        <v>6.7323354524780027E-2</v>
      </c>
      <c r="G55" s="33">
        <f t="shared" si="12"/>
        <v>7.6122027126477601E-2</v>
      </c>
      <c r="H55" s="16" t="s">
        <v>31</v>
      </c>
    </row>
    <row r="56" spans="1:8" x14ac:dyDescent="0.25">
      <c r="A56" s="17">
        <v>0.27732450281510934</v>
      </c>
      <c r="B56" s="17">
        <v>0.31581673607445993</v>
      </c>
      <c r="C56" s="17">
        <v>0.40685876111043073</v>
      </c>
      <c r="D56" s="20">
        <f t="shared" si="11"/>
        <v>1</v>
      </c>
      <c r="E56" s="17">
        <f t="array" ref="E56">SQRT(MMULT(A56:C56,MMULT($C$4:$E$6,TRANSPOSE(A56:C56))))</f>
        <v>9.5624236518052311E-2</v>
      </c>
      <c r="F56" s="32">
        <f t="array" ref="F56">MMULT(A56:C56,$B$4:$B$6)</f>
        <v>6.7976797028931751E-2</v>
      </c>
      <c r="G56" s="33">
        <f t="shared" si="12"/>
        <v>7.6179425125221689E-2</v>
      </c>
      <c r="H56" s="16" t="s">
        <v>31</v>
      </c>
    </row>
    <row r="57" spans="1:8" x14ac:dyDescent="0.25">
      <c r="A57" s="17">
        <v>0.41873792292045708</v>
      </c>
      <c r="B57" s="17">
        <v>9.3125357551215981E-2</v>
      </c>
      <c r="C57" s="17">
        <v>0.48813671952832693</v>
      </c>
      <c r="D57" s="20">
        <f t="shared" si="11"/>
        <v>1</v>
      </c>
      <c r="E57" s="17">
        <f t="array" ref="E57">SQRT(MMULT(A57:C57,MMULT($C$4:$E$6,TRANSPOSE(A57:C57))))</f>
        <v>0.15485549372261692</v>
      </c>
      <c r="F57" s="32">
        <f t="array" ref="F57">MMULT(A57:C57,$B$4:$B$6)</f>
        <v>6.8155301711197366E-2</v>
      </c>
      <c r="G57" s="33">
        <f t="shared" si="12"/>
        <v>7.6199982623363013E-2</v>
      </c>
      <c r="H57" s="16" t="s">
        <v>31</v>
      </c>
    </row>
    <row r="58" spans="1:8" x14ac:dyDescent="0.25">
      <c r="A58" s="17">
        <v>0.4532265281065806</v>
      </c>
      <c r="B58" s="17">
        <v>4.8994730536672249E-2</v>
      </c>
      <c r="C58" s="17">
        <v>0.49777874135674716</v>
      </c>
      <c r="D58" s="20">
        <f t="shared" si="11"/>
        <v>1</v>
      </c>
      <c r="E58" s="17">
        <f t="array" ref="E58">SQRT(MMULT(A58:C58,MMULT($C$4:$E$6,TRANSPOSE(A58:C58))))</f>
        <v>0.16930734982076681</v>
      </c>
      <c r="F58" s="32">
        <f t="array" ref="F58">MMULT(A58:C58,$B$4:$B$6)</f>
        <v>6.8707858775360064E-2</v>
      </c>
      <c r="G58" s="33">
        <f t="shared" si="12"/>
        <v>7.6276858548307361E-2</v>
      </c>
      <c r="H58" s="16" t="s">
        <v>31</v>
      </c>
    </row>
    <row r="59" spans="1:8" x14ac:dyDescent="0.25">
      <c r="A59" s="17">
        <v>0.3364307656437443</v>
      </c>
      <c r="B59" s="17">
        <v>0.24393730219300114</v>
      </c>
      <c r="C59" s="17">
        <v>0.41963193216325456</v>
      </c>
      <c r="D59" s="20">
        <f t="shared" si="11"/>
        <v>1</v>
      </c>
      <c r="E59" s="17">
        <f t="array" ref="E59">SQRT(MMULT(A59:C59,MMULT($C$4:$E$6,TRANSPOSE(A59:C59))))</f>
        <v>0.11418213282719686</v>
      </c>
      <c r="F59" s="32">
        <f t="array" ref="F59">MMULT(A59:C59,$B$4:$B$6)</f>
        <v>6.9111326361149597E-2</v>
      </c>
      <c r="G59" s="33">
        <f t="shared" si="12"/>
        <v>7.6345608369242438E-2</v>
      </c>
      <c r="H59" s="16" t="s">
        <v>31</v>
      </c>
    </row>
    <row r="60" spans="1:8" x14ac:dyDescent="0.25">
      <c r="A60" s="17">
        <v>0.33901730078171866</v>
      </c>
      <c r="B60" s="17">
        <v>0.24997509110021032</v>
      </c>
      <c r="C60" s="17">
        <v>0.41100760811807102</v>
      </c>
      <c r="D60" s="20">
        <f t="shared" si="11"/>
        <v>1</v>
      </c>
      <c r="E60" s="17">
        <f t="array" ref="E60">SQRT(MMULT(A60:C60,MMULT($C$4:$E$6,TRANSPOSE(A60:C60))))</f>
        <v>0.11349780329939214</v>
      </c>
      <c r="F60" s="32">
        <f t="array" ref="F60">MMULT(A60:C60,$B$4:$B$6)</f>
        <v>6.9620138617548011E-2</v>
      </c>
      <c r="G60" s="33">
        <f t="shared" si="12"/>
        <v>7.6447441729690035E-2</v>
      </c>
      <c r="H60" s="16" t="s">
        <v>31</v>
      </c>
    </row>
    <row r="61" spans="1:8" x14ac:dyDescent="0.25">
      <c r="A61" s="17">
        <v>0.45248964680838466</v>
      </c>
      <c r="B61" s="17">
        <v>7.0492469619886755E-2</v>
      </c>
      <c r="C61" s="17">
        <v>0.47701788357172858</v>
      </c>
      <c r="D61" s="20">
        <f t="shared" si="11"/>
        <v>1</v>
      </c>
      <c r="E61" s="17">
        <f t="array" ref="E61">SQRT(MMULT(A61:C61,MMULT($C$4:$E$6,TRANSPOSE(A61:C61))))</f>
        <v>0.16470344053119537</v>
      </c>
      <c r="F61" s="32">
        <f t="array" ref="F61">MMULT(A61:C61,$B$4:$B$6)</f>
        <v>6.9723795225665117E-2</v>
      </c>
      <c r="G61" s="33">
        <f t="shared" si="12"/>
        <v>7.6470251901469222E-2</v>
      </c>
      <c r="H61" s="16" t="s">
        <v>31</v>
      </c>
    </row>
    <row r="62" spans="1:8" x14ac:dyDescent="0.25">
      <c r="A62" s="17">
        <v>0.33748069478115572</v>
      </c>
      <c r="B62" s="17">
        <v>0.25676177305256309</v>
      </c>
      <c r="C62" s="17">
        <v>0.40575753216628119</v>
      </c>
      <c r="D62" s="20">
        <f t="shared" si="11"/>
        <v>1</v>
      </c>
      <c r="E62" s="17">
        <f t="array" ref="E62">SQRT(MMULT(A62:C62,MMULT($C$4:$E$6,TRANSPOSE(A62:C62))))</f>
        <v>0.11214572520787587</v>
      </c>
      <c r="F62" s="32">
        <f t="array" ref="F62">MMULT(A62:C62,$B$4:$B$6)</f>
        <v>6.9836544235120618E-2</v>
      </c>
      <c r="G62" s="33">
        <f t="shared" si="12"/>
        <v>7.6495854701477545E-2</v>
      </c>
      <c r="H62" s="16" t="s">
        <v>31</v>
      </c>
    </row>
    <row r="63" spans="1:8" x14ac:dyDescent="0.25">
      <c r="A63" s="17">
        <v>0.17687222220399057</v>
      </c>
      <c r="B63" s="17">
        <v>0.5155941793011628</v>
      </c>
      <c r="C63" s="17">
        <v>0.30753359849484663</v>
      </c>
      <c r="D63" s="20">
        <f t="shared" si="11"/>
        <v>1</v>
      </c>
      <c r="E63" s="17">
        <f t="array" ref="E63">SQRT(MMULT(A63:C63,MMULT($C$4:$E$6,TRANSPOSE(A63:C63))))</f>
        <v>7.6825905346322457E-2</v>
      </c>
      <c r="F63" s="32">
        <f t="array" ref="F63">MMULT(A63:C63,$B$4:$B$6)</f>
        <v>6.9929486741377389E-2</v>
      </c>
      <c r="G63" s="33">
        <f t="shared" si="12"/>
        <v>7.6517579703695243E-2</v>
      </c>
      <c r="H63" s="16" t="s">
        <v>31</v>
      </c>
    </row>
    <row r="64" spans="1:8" x14ac:dyDescent="0.25">
      <c r="A64" s="17">
        <v>0.12266507079805922</v>
      </c>
      <c r="B64" s="17">
        <v>0.61205663678303057</v>
      </c>
      <c r="C64" s="17">
        <v>0.26527829241891021</v>
      </c>
      <c r="D64" s="20">
        <f t="shared" si="11"/>
        <v>1</v>
      </c>
      <c r="E64" s="17">
        <f t="array" ref="E64">SQRT(MMULT(A64:C64,MMULT($C$4:$E$6,TRANSPOSE(A64:C64))))</f>
        <v>8.6018713111892478E-2</v>
      </c>
      <c r="F64" s="32">
        <f t="array" ref="F64">MMULT(A64:C64,$B$4:$B$6)</f>
        <v>7.041603750299627E-2</v>
      </c>
      <c r="G64" s="33">
        <f t="shared" si="12"/>
        <v>7.6640430898856596E-2</v>
      </c>
      <c r="H64" s="16" t="s">
        <v>31</v>
      </c>
    </row>
    <row r="65" spans="1:8" x14ac:dyDescent="0.25">
      <c r="A65" s="17">
        <v>0.50921578938161993</v>
      </c>
      <c r="B65" s="17">
        <v>2.3042457256342797E-2</v>
      </c>
      <c r="C65" s="17">
        <v>0.46774175336203727</v>
      </c>
      <c r="D65" s="20">
        <f t="shared" si="11"/>
        <v>1</v>
      </c>
      <c r="E65" s="17">
        <f t="array" ref="E65">SQRT(MMULT(A65:C65,MMULT($C$4:$E$6,TRANSPOSE(A65:C65))))</f>
        <v>0.18369354721943204</v>
      </c>
      <c r="F65" s="32">
        <f t="array" ref="F65">MMULT(A65:C65,$B$4:$B$6)</f>
        <v>7.188938601334674E-2</v>
      </c>
      <c r="G65" s="33">
        <f t="shared" si="12"/>
        <v>7.7105177545714304E-2</v>
      </c>
      <c r="H65" s="16" t="s">
        <v>31</v>
      </c>
    </row>
    <row r="66" spans="1:8" x14ac:dyDescent="0.25">
      <c r="A66" s="17">
        <v>6.8319482309211477E-3</v>
      </c>
      <c r="B66" s="17">
        <v>0.85920255676155888</v>
      </c>
      <c r="C66" s="17">
        <v>0.13396549500751997</v>
      </c>
      <c r="D66" s="20">
        <f t="shared" si="11"/>
        <v>1</v>
      </c>
      <c r="E66" s="17">
        <f t="array" ref="E66">SQRT(MMULT(A66:C66,MMULT($C$4:$E$6,TRANSPOSE(A66:C66))))</f>
        <v>0.1410385705329909</v>
      </c>
      <c r="F66" s="32">
        <f t="array" ref="F66">MMULT(A66:C66,$B$4:$B$6)</f>
        <v>7.3506683696551639E-2</v>
      </c>
      <c r="G66" s="33">
        <f t="shared" si="12"/>
        <v>7.777339300225064E-2</v>
      </c>
      <c r="H66" s="16" t="s">
        <v>31</v>
      </c>
    </row>
    <row r="67" spans="1:8" x14ac:dyDescent="0.25">
      <c r="A67" s="17">
        <v>0.53517715334225024</v>
      </c>
      <c r="B67" s="17">
        <v>2.9394356874156369E-2</v>
      </c>
      <c r="C67" s="17">
        <v>0.43542848978359339</v>
      </c>
      <c r="D67" s="20">
        <f t="shared" si="11"/>
        <v>1</v>
      </c>
      <c r="E67" s="17">
        <f t="array" ref="E67">SQRT(MMULT(A67:C67,MMULT($C$4:$E$6,TRANSPOSE(A67:C67))))</f>
        <v>0.1866881039616482</v>
      </c>
      <c r="F67" s="32">
        <f t="array" ref="F67">MMULT(A67:C67,$B$4:$B$6)</f>
        <v>7.4283890111087839E-2</v>
      </c>
      <c r="G67" s="33">
        <f t="shared" si="12"/>
        <v>7.815218762309839E-2</v>
      </c>
      <c r="H67" s="16" t="s">
        <v>31</v>
      </c>
    </row>
    <row r="68" spans="1:8" x14ac:dyDescent="0.25">
      <c r="A68" s="17">
        <v>0.3509299210120036</v>
      </c>
      <c r="B68" s="17">
        <v>0.33266738787479766</v>
      </c>
      <c r="C68" s="17">
        <v>0.31640269111319874</v>
      </c>
      <c r="D68" s="20">
        <f t="shared" si="11"/>
        <v>1</v>
      </c>
      <c r="E68" s="17">
        <f t="array" ref="E68">SQRT(MMULT(A68:C68,MMULT($C$4:$E$6,TRANSPOSE(A68:C68))))</f>
        <v>0.10249916612380605</v>
      </c>
      <c r="F68" s="32">
        <f t="array" ref="F68">MMULT(A68:C68,$B$4:$B$6)</f>
        <v>7.4707763074700173E-2</v>
      </c>
      <c r="G68" s="33">
        <f t="shared" si="12"/>
        <v>7.8374287119153715E-2</v>
      </c>
      <c r="H68" s="16" t="s">
        <v>31</v>
      </c>
    </row>
    <row r="69" spans="1:8" x14ac:dyDescent="0.25">
      <c r="A69" s="17">
        <v>0.25809954048894224</v>
      </c>
      <c r="B69" s="17">
        <v>0.49034235684053018</v>
      </c>
      <c r="C69" s="17">
        <v>0.25155810267052758</v>
      </c>
      <c r="D69" s="20">
        <f t="shared" ref="D69:D100" si="13">SUM(A69:C69)</f>
        <v>1</v>
      </c>
      <c r="E69" s="17">
        <f t="array" ref="E69">SQRT(MMULT(A69:C69,MMULT($C$4:$E$6,TRANSPOSE(A69:C69))))</f>
        <v>7.9652930656234827E-2</v>
      </c>
      <c r="F69" s="32">
        <f t="array" ref="F69">MMULT(A69:C69,$B$4:$B$6)</f>
        <v>7.516508108114188E-2</v>
      </c>
      <c r="G69" s="33">
        <f t="shared" ref="G69:G100" si="14">SQRT($O$4*F69^2-2*$O$5*F69+$O$6)</f>
        <v>7.8626055521908031E-2</v>
      </c>
      <c r="H69" s="16" t="s">
        <v>31</v>
      </c>
    </row>
    <row r="70" spans="1:8" x14ac:dyDescent="0.25">
      <c r="A70" s="17">
        <v>0.29398411965475746</v>
      </c>
      <c r="B70" s="17">
        <v>0.45753012941339799</v>
      </c>
      <c r="C70" s="17">
        <v>0.24848575093184455</v>
      </c>
      <c r="D70" s="20">
        <f t="shared" si="13"/>
        <v>1</v>
      </c>
      <c r="E70" s="17">
        <f t="array" ref="E70">SQRT(MMULT(A70:C70,MMULT($C$4:$E$6,TRANSPOSE(A70:C70))))</f>
        <v>8.3707201911035908E-2</v>
      </c>
      <c r="F70" s="32">
        <f t="array" ref="F70">MMULT(A70:C70,$B$4:$B$6)</f>
        <v>7.6395236043050499E-2</v>
      </c>
      <c r="G70" s="33">
        <f t="shared" si="14"/>
        <v>7.9364917983778357E-2</v>
      </c>
      <c r="H70" s="16" t="s">
        <v>31</v>
      </c>
    </row>
    <row r="71" spans="1:8" x14ac:dyDescent="0.25">
      <c r="A71" s="17">
        <v>0.51133369063139122</v>
      </c>
      <c r="B71" s="17">
        <v>0.11277302435083303</v>
      </c>
      <c r="C71" s="17">
        <v>0.37589328501777575</v>
      </c>
      <c r="D71" s="20">
        <f t="shared" si="13"/>
        <v>1</v>
      </c>
      <c r="E71" s="17">
        <f t="array" ref="E71">SQRT(MMULT(A71:C71,MMULT($C$4:$E$6,TRANSPOSE(A71:C71))))</f>
        <v>0.16584632679417571</v>
      </c>
      <c r="F71" s="32">
        <f t="array" ref="F71">MMULT(A71:C71,$B$4:$B$6)</f>
        <v>7.6545346468052958E-2</v>
      </c>
      <c r="G71" s="33">
        <f t="shared" si="14"/>
        <v>7.9461143908583332E-2</v>
      </c>
      <c r="H71" s="16" t="s">
        <v>31</v>
      </c>
    </row>
    <row r="72" spans="1:8" x14ac:dyDescent="0.25">
      <c r="A72" s="17">
        <v>9.14999614811699E-2</v>
      </c>
      <c r="B72" s="17">
        <v>0.79279437927030671</v>
      </c>
      <c r="C72" s="17">
        <v>0.11570565924852338</v>
      </c>
      <c r="D72" s="20">
        <f t="shared" si="13"/>
        <v>1</v>
      </c>
      <c r="E72" s="17">
        <f t="array" ref="E72">SQRT(MMULT(A72:C72,MMULT($C$4:$E$6,TRANSPOSE(A72:C72))))</f>
        <v>0.11844682587725791</v>
      </c>
      <c r="F72" s="32">
        <f t="array" ref="F72">MMULT(A72:C72,$B$4:$B$6)</f>
        <v>7.6959715882008936E-2</v>
      </c>
      <c r="G72" s="33">
        <f t="shared" si="14"/>
        <v>7.9733519701447972E-2</v>
      </c>
      <c r="H72" s="16" t="s">
        <v>31</v>
      </c>
    </row>
    <row r="73" spans="1:8" x14ac:dyDescent="0.25">
      <c r="A73" s="17">
        <v>0.17147790407467012</v>
      </c>
      <c r="B73" s="17">
        <v>0.67010218816082012</v>
      </c>
      <c r="C73" s="17">
        <v>0.15841990776450976</v>
      </c>
      <c r="D73" s="20">
        <f t="shared" si="13"/>
        <v>1</v>
      </c>
      <c r="E73" s="17">
        <f t="array" ref="E73">SQRT(MMULT(A73:C73,MMULT($C$4:$E$6,TRANSPOSE(A73:C73))))</f>
        <v>9.1621101479347739E-2</v>
      </c>
      <c r="F73" s="32">
        <f t="array" ref="F73">MMULT(A73:C73,$B$4:$B$6)</f>
        <v>7.7223341734014614E-2</v>
      </c>
      <c r="G73" s="33">
        <f t="shared" si="14"/>
        <v>7.9911931229274535E-2</v>
      </c>
      <c r="H73" s="16" t="s">
        <v>31</v>
      </c>
    </row>
    <row r="74" spans="1:8" x14ac:dyDescent="0.25">
      <c r="A74" s="17">
        <v>0.46310546096068905</v>
      </c>
      <c r="B74" s="17">
        <v>0.22597991376781712</v>
      </c>
      <c r="C74" s="17">
        <v>0.31091462527149383</v>
      </c>
      <c r="D74" s="20">
        <f t="shared" si="13"/>
        <v>1</v>
      </c>
      <c r="E74" s="17">
        <f t="array" ref="E74">SQRT(MMULT(A74:C74,MMULT($C$4:$E$6,TRANSPOSE(A74:C74))))</f>
        <v>0.13673985690628518</v>
      </c>
      <c r="F74" s="32">
        <f t="array" ref="F74">MMULT(A74:C74,$B$4:$B$6)</f>
        <v>7.8347432565245984E-2</v>
      </c>
      <c r="G74" s="33">
        <f t="shared" si="14"/>
        <v>8.0716699820435486E-2</v>
      </c>
      <c r="H74" s="16" t="s">
        <v>31</v>
      </c>
    </row>
    <row r="75" spans="1:8" x14ac:dyDescent="0.25">
      <c r="A75" s="17">
        <v>0.36108300206934352</v>
      </c>
      <c r="B75" s="17">
        <v>0.39068795095099318</v>
      </c>
      <c r="C75" s="17">
        <v>0.2482290469796633</v>
      </c>
      <c r="D75" s="20">
        <f t="shared" si="13"/>
        <v>1</v>
      </c>
      <c r="E75" s="17">
        <f t="array" ref="E75">SQRT(MMULT(A75:C75,MMULT($C$4:$E$6,TRANSPOSE(A75:C75))))</f>
        <v>9.7073905500689409E-2</v>
      </c>
      <c r="F75" s="32">
        <f t="array" ref="F75">MMULT(A75:C75,$B$4:$B$6)</f>
        <v>7.842103771309715E-2</v>
      </c>
      <c r="G75" s="33">
        <f t="shared" si="14"/>
        <v>8.0771851935963701E-2</v>
      </c>
      <c r="H75" s="16" t="s">
        <v>31</v>
      </c>
    </row>
    <row r="76" spans="1:8" x14ac:dyDescent="0.25">
      <c r="A76" s="17">
        <v>0.5723697403136917</v>
      </c>
      <c r="B76" s="17">
        <v>6.2380896809372866E-2</v>
      </c>
      <c r="C76" s="17">
        <v>0.36524936287693544</v>
      </c>
      <c r="D76" s="20">
        <f t="shared" si="13"/>
        <v>1</v>
      </c>
      <c r="E76" s="17">
        <f t="array" ref="E76">SQRT(MMULT(A76:C76,MMULT($C$4:$E$6,TRANSPOSE(A76:C76))))</f>
        <v>0.1864343643238088</v>
      </c>
      <c r="F76" s="32">
        <f t="array" ref="F76">MMULT(A76:C76,$B$4:$B$6)</f>
        <v>7.8908624065563981E-2</v>
      </c>
      <c r="G76" s="33">
        <f t="shared" si="14"/>
        <v>8.1144705169934869E-2</v>
      </c>
      <c r="H76" s="16" t="s">
        <v>31</v>
      </c>
    </row>
    <row r="77" spans="1:8" x14ac:dyDescent="0.25">
      <c r="A77" s="17">
        <v>0.28320897711096893</v>
      </c>
      <c r="B77" s="17">
        <v>0.5342059761314254</v>
      </c>
      <c r="C77" s="17">
        <v>0.18258504675760567</v>
      </c>
      <c r="D77" s="20">
        <f t="shared" si="13"/>
        <v>1</v>
      </c>
      <c r="E77" s="17">
        <f t="array" ref="E77">SQRT(MMULT(A77:C77,MMULT($C$4:$E$6,TRANSPOSE(A77:C77))))</f>
        <v>8.1760170852537242E-2</v>
      </c>
      <c r="F77" s="32">
        <f t="array" ref="F77">MMULT(A77:C77,$B$4:$B$6)</f>
        <v>7.936701697544879E-2</v>
      </c>
      <c r="G77" s="33">
        <f t="shared" si="14"/>
        <v>8.1507015270068608E-2</v>
      </c>
      <c r="H77" s="16" t="s">
        <v>31</v>
      </c>
    </row>
    <row r="78" spans="1:8" x14ac:dyDescent="0.25">
      <c r="A78" s="17">
        <v>9.2256548469154431E-2</v>
      </c>
      <c r="B78" s="17">
        <v>0.84908651949577518</v>
      </c>
      <c r="C78" s="17">
        <v>5.8656932035070386E-2</v>
      </c>
      <c r="D78" s="20">
        <f t="shared" si="13"/>
        <v>1</v>
      </c>
      <c r="E78" s="17">
        <f t="array" ref="E78">SQRT(MMULT(A78:C78,MMULT($C$4:$E$6,TRANSPOSE(A78:C78))))</f>
        <v>0.12999418310073235</v>
      </c>
      <c r="F78" s="32">
        <f t="array" ref="F78">MMULT(A78:C78,$B$4:$B$6)</f>
        <v>7.9834849852321116E-2</v>
      </c>
      <c r="G78" s="33">
        <f t="shared" si="14"/>
        <v>8.1888398442566082E-2</v>
      </c>
      <c r="H78" s="16" t="s">
        <v>31</v>
      </c>
    </row>
    <row r="79" spans="1:8" x14ac:dyDescent="0.25">
      <c r="A79" s="17">
        <v>0.62287525858995207</v>
      </c>
      <c r="B79" s="17">
        <v>1.1115855800311381E-2</v>
      </c>
      <c r="C79" s="17">
        <v>0.36600888560973655</v>
      </c>
      <c r="D79" s="20">
        <f t="shared" si="13"/>
        <v>1</v>
      </c>
      <c r="E79" s="17">
        <f t="array" ref="E79">SQRT(MMULT(A79:C79,MMULT($C$4:$E$6,TRANSPOSE(A79:C79))))</f>
        <v>0.20577454073101639</v>
      </c>
      <c r="F79" s="32">
        <f t="array" ref="F79">MMULT(A79:C79,$B$4:$B$6)</f>
        <v>8.0385813477211743E-2</v>
      </c>
      <c r="G79" s="33">
        <f t="shared" si="14"/>
        <v>8.2352372428262724E-2</v>
      </c>
      <c r="H79" s="16" t="s">
        <v>31</v>
      </c>
    </row>
    <row r="80" spans="1:8" x14ac:dyDescent="0.25">
      <c r="A80" s="17">
        <v>0.15297031690896834</v>
      </c>
      <c r="B80" s="17">
        <v>0.76658027516539484</v>
      </c>
      <c r="C80" s="17">
        <v>8.0449407925636818E-2</v>
      </c>
      <c r="D80" s="20">
        <f t="shared" si="13"/>
        <v>1</v>
      </c>
      <c r="E80" s="17">
        <f t="array" ref="E80">SQRT(MMULT(A80:C80,MMULT($C$4:$E$6,TRANSPOSE(A80:C80))))</f>
        <v>0.10887511072484478</v>
      </c>
      <c r="F80" s="32">
        <f t="array" ref="F80">MMULT(A80:C80,$B$4:$B$6)</f>
        <v>8.0566639110987215E-2</v>
      </c>
      <c r="G80" s="33">
        <f t="shared" si="14"/>
        <v>8.2508099635138318E-2</v>
      </c>
      <c r="H80" s="16" t="s">
        <v>31</v>
      </c>
    </row>
    <row r="81" spans="1:8" x14ac:dyDescent="0.25">
      <c r="A81" s="17">
        <v>0.4466887076603725</v>
      </c>
      <c r="B81" s="17">
        <v>0.29944187512415865</v>
      </c>
      <c r="C81" s="17">
        <v>0.25386941721546885</v>
      </c>
      <c r="D81" s="20">
        <f t="shared" si="13"/>
        <v>1</v>
      </c>
      <c r="E81" s="17">
        <f t="array" ref="E81">SQRT(MMULT(A81:C81,MMULT($C$4:$E$6,TRANSPOSE(A81:C81))))</f>
        <v>0.12219502435588284</v>
      </c>
      <c r="F81" s="32">
        <f t="array" ref="F81">MMULT(A81:C81,$B$4:$B$6)</f>
        <v>8.0707190369037729E-2</v>
      </c>
      <c r="G81" s="33">
        <f t="shared" si="14"/>
        <v>8.2630310036249668E-2</v>
      </c>
      <c r="H81" s="16" t="s">
        <v>31</v>
      </c>
    </row>
    <row r="82" spans="1:8" x14ac:dyDescent="0.25">
      <c r="A82" s="17">
        <v>0.3627112360218826</v>
      </c>
      <c r="B82" s="17">
        <v>0.43403605704501336</v>
      </c>
      <c r="C82" s="17">
        <v>0.20325270693310404</v>
      </c>
      <c r="D82" s="20">
        <f t="shared" si="13"/>
        <v>1</v>
      </c>
      <c r="E82" s="17">
        <f t="array" ref="E82">SQRT(MMULT(A82:C82,MMULT($C$4:$E$6,TRANSPOSE(A82:C82))))</f>
        <v>9.3495046657022476E-2</v>
      </c>
      <c r="F82" s="32">
        <f t="array" ref="F82">MMULT(A82:C82,$B$4:$B$6)</f>
        <v>8.0718701734001294E-2</v>
      </c>
      <c r="G82" s="33">
        <f t="shared" si="14"/>
        <v>8.2640364343173053E-2</v>
      </c>
      <c r="H82" s="16" t="s">
        <v>31</v>
      </c>
    </row>
    <row r="83" spans="1:8" x14ac:dyDescent="0.25">
      <c r="A83" s="17">
        <v>0.62233670840537192</v>
      </c>
      <c r="B83" s="17">
        <v>2.1642353735331854E-2</v>
      </c>
      <c r="C83" s="17">
        <v>0.35602093785929623</v>
      </c>
      <c r="D83" s="20">
        <f t="shared" si="13"/>
        <v>1</v>
      </c>
      <c r="E83" s="17">
        <f t="array" ref="E83">SQRT(MMULT(A83:C83,MMULT($C$4:$E$6,TRANSPOSE(A83:C83))))</f>
        <v>0.20355262624059356</v>
      </c>
      <c r="F83" s="32">
        <f t="array" ref="F83">MMULT(A83:C83,$B$4:$B$6)</f>
        <v>8.0869054359196349E-2</v>
      </c>
      <c r="G83" s="33">
        <f t="shared" si="14"/>
        <v>8.2772310834405532E-2</v>
      </c>
      <c r="H83" s="16" t="s">
        <v>31</v>
      </c>
    </row>
    <row r="84" spans="1:8" x14ac:dyDescent="0.25">
      <c r="A84" s="17">
        <v>0.52629872940496625</v>
      </c>
      <c r="B84" s="17">
        <v>0.20781389498020697</v>
      </c>
      <c r="C84" s="17">
        <v>0.26588737561482678</v>
      </c>
      <c r="D84" s="20">
        <f t="shared" si="13"/>
        <v>1</v>
      </c>
      <c r="E84" s="17">
        <f t="array" ref="E84">SQRT(MMULT(A84:C84,MMULT($C$4:$E$6,TRANSPOSE(A84:C84))))</f>
        <v>0.15099259235681864</v>
      </c>
      <c r="F84" s="32">
        <f t="array" ref="F84">MMULT(A84:C84,$B$4:$B$6)</f>
        <v>8.2494593101407651E-2</v>
      </c>
      <c r="G84" s="33">
        <f t="shared" si="14"/>
        <v>8.4271557083030496E-2</v>
      </c>
      <c r="H84" s="16" t="s">
        <v>31</v>
      </c>
    </row>
    <row r="85" spans="1:8" x14ac:dyDescent="0.25">
      <c r="A85" s="17">
        <v>5.4811248966389448E-2</v>
      </c>
      <c r="B85" s="17">
        <v>0.973875183183741</v>
      </c>
      <c r="C85" s="17">
        <v>-2.8686432150130448E-2</v>
      </c>
      <c r="D85" s="20">
        <f t="shared" si="13"/>
        <v>0.99999999999999989</v>
      </c>
      <c r="E85" s="17">
        <f t="array" ref="E85">SQRT(MMULT(A85:C85,MMULT($C$4:$E$6,TRANSPOSE(A85:C85))))</f>
        <v>0.16125406616313756</v>
      </c>
      <c r="F85" s="32">
        <f t="array" ref="F85">MMULT(A85:C85,$B$4:$B$6)</f>
        <v>8.307865907649821E-2</v>
      </c>
      <c r="G85" s="33">
        <f t="shared" si="14"/>
        <v>8.4841910121096833E-2</v>
      </c>
      <c r="H85" s="16" t="s">
        <v>31</v>
      </c>
    </row>
    <row r="86" spans="1:8" x14ac:dyDescent="0.25">
      <c r="A86" s="17">
        <v>0.49035967513108736</v>
      </c>
      <c r="B86" s="17">
        <v>0.29464925664852104</v>
      </c>
      <c r="C86" s="17">
        <v>0.2149910682203916</v>
      </c>
      <c r="D86" s="20">
        <f t="shared" si="13"/>
        <v>1</v>
      </c>
      <c r="E86" s="17">
        <f t="array" ref="E86">SQRT(MMULT(A86:C86,MMULT($C$4:$E$6,TRANSPOSE(A86:C86))))</f>
        <v>0.13056075069140835</v>
      </c>
      <c r="F86" s="32">
        <f t="array" ref="F86">MMULT(A86:C86,$B$4:$B$6)</f>
        <v>8.3961236842913026E-2</v>
      </c>
      <c r="G86" s="33">
        <f t="shared" si="14"/>
        <v>8.5734417967016335E-2</v>
      </c>
      <c r="H86" s="16" t="s">
        <v>31</v>
      </c>
    </row>
    <row r="87" spans="1:8" x14ac:dyDescent="0.25">
      <c r="A87" s="17">
        <v>0.69089505881281432</v>
      </c>
      <c r="B87" s="17">
        <v>6.2049278522116058E-3</v>
      </c>
      <c r="C87" s="17">
        <v>0.30290001333497407</v>
      </c>
      <c r="D87" s="20">
        <f t="shared" si="13"/>
        <v>1</v>
      </c>
      <c r="E87" s="17">
        <f t="array" ref="E87">SQRT(MMULT(A87:C87,MMULT($C$4:$E$6,TRANSPOSE(A87:C87))))</f>
        <v>0.21931502498854311</v>
      </c>
      <c r="F87" s="32">
        <f t="array" ref="F87">MMULT(A87:C87,$B$4:$B$6)</f>
        <v>8.5581851097635733E-2</v>
      </c>
      <c r="G87" s="33">
        <f t="shared" si="14"/>
        <v>8.7465857255201673E-2</v>
      </c>
      <c r="H87" s="16" t="s">
        <v>31</v>
      </c>
    </row>
    <row r="88" spans="1:8" x14ac:dyDescent="0.25">
      <c r="A88" s="17">
        <v>0.3954154497499085</v>
      </c>
      <c r="B88" s="17">
        <v>0.48764680641982872</v>
      </c>
      <c r="C88" s="17">
        <v>0.11693774383026279</v>
      </c>
      <c r="D88" s="20">
        <f t="shared" si="13"/>
        <v>1</v>
      </c>
      <c r="E88" s="17">
        <f t="array" ref="E88">SQRT(MMULT(A88:C88,MMULT($C$4:$E$6,TRANSPOSE(A88:C88))))</f>
        <v>9.516002093570361E-2</v>
      </c>
      <c r="F88" s="32">
        <f t="array" ref="F88">MMULT(A88:C88,$B$4:$B$6)</f>
        <v>8.6015576300984123E-2</v>
      </c>
      <c r="G88" s="33">
        <f t="shared" si="14"/>
        <v>8.7948857294770699E-2</v>
      </c>
      <c r="H88" s="16" t="s">
        <v>31</v>
      </c>
    </row>
    <row r="89" spans="1:8" x14ac:dyDescent="0.25">
      <c r="A89" s="17">
        <v>0.20809800149799118</v>
      </c>
      <c r="B89" s="17">
        <v>0.81488407400639151</v>
      </c>
      <c r="C89" s="17">
        <v>-2.2982075504382693E-2</v>
      </c>
      <c r="D89" s="20">
        <f t="shared" si="13"/>
        <v>0.99999999999999989</v>
      </c>
      <c r="E89" s="17">
        <f t="array" ref="E89">SQRT(MMULT(A89:C89,MMULT($C$4:$E$6,TRANSPOSE(A89:C89))))</f>
        <v>0.11577882426411545</v>
      </c>
      <c r="F89" s="32">
        <f t="array" ref="F89">MMULT(A89:C89,$B$4:$B$6)</f>
        <v>8.7392043820158888E-2</v>
      </c>
      <c r="G89" s="33">
        <f t="shared" si="14"/>
        <v>8.9534219385716526E-2</v>
      </c>
      <c r="H89" s="16" t="s">
        <v>31</v>
      </c>
    </row>
    <row r="90" spans="1:8" x14ac:dyDescent="0.25">
      <c r="A90" s="17">
        <v>0.42774989148115772</v>
      </c>
      <c r="B90" s="17">
        <v>0.46588556345779053</v>
      </c>
      <c r="C90" s="17">
        <v>0.10636454506105175</v>
      </c>
      <c r="D90" s="20">
        <f t="shared" si="13"/>
        <v>1</v>
      </c>
      <c r="E90" s="17">
        <f t="array" ref="E90">SQRT(MMULT(A90:C90,MMULT($C$4:$E$6,TRANSPOSE(A90:C90))))</f>
        <v>0.10122855071806369</v>
      </c>
      <c r="F90" s="32">
        <f t="array" ref="F90">MMULT(A90:C90,$B$4:$B$6)</f>
        <v>8.7514269491382149E-2</v>
      </c>
      <c r="G90" s="33">
        <f t="shared" si="14"/>
        <v>8.9678759452370194E-2</v>
      </c>
      <c r="H90" s="16" t="s">
        <v>31</v>
      </c>
    </row>
    <row r="91" spans="1:8" x14ac:dyDescent="0.25">
      <c r="A91" s="17">
        <v>0.59217398266391752</v>
      </c>
      <c r="B91" s="17">
        <v>0.2028386618632535</v>
      </c>
      <c r="C91" s="17">
        <v>0.20498735547282898</v>
      </c>
      <c r="D91" s="20">
        <f t="shared" si="13"/>
        <v>1</v>
      </c>
      <c r="E91" s="17">
        <f t="array" ref="E91">SQRT(MMULT(A91:C91,MMULT($C$4:$E$6,TRANSPOSE(A91:C91))))</f>
        <v>0.16415022782728481</v>
      </c>
      <c r="F91" s="32">
        <f t="array" ref="F91">MMULT(A91:C91,$B$4:$B$6)</f>
        <v>8.7515851706276071E-2</v>
      </c>
      <c r="G91" s="33">
        <f t="shared" si="14"/>
        <v>8.9680634475616888E-2</v>
      </c>
      <c r="H91" s="16" t="s">
        <v>31</v>
      </c>
    </row>
    <row r="92" spans="1:8" x14ac:dyDescent="0.25">
      <c r="A92" s="17">
        <v>0.26185210904748968</v>
      </c>
      <c r="B92" s="17">
        <v>0.73522536348851453</v>
      </c>
      <c r="C92" s="17">
        <v>2.9225274639957943E-3</v>
      </c>
      <c r="D92" s="20">
        <f t="shared" si="13"/>
        <v>1</v>
      </c>
      <c r="E92" s="17">
        <f t="array" ref="E92">SQRT(MMULT(A92:C92,MMULT($C$4:$E$6,TRANSPOSE(A92:C92))))</f>
        <v>0.10069061916304083</v>
      </c>
      <c r="F92" s="32">
        <f t="array" ref="F92">MMULT(A92:C92,$B$4:$B$6)</f>
        <v>8.7709436898224899E-2</v>
      </c>
      <c r="G92" s="33">
        <f t="shared" si="14"/>
        <v>8.9910803227880851E-2</v>
      </c>
      <c r="H92" s="16" t="s">
        <v>31</v>
      </c>
    </row>
    <row r="93" spans="1:8" x14ac:dyDescent="0.25">
      <c r="A93" s="17">
        <v>0.5112381413857342</v>
      </c>
      <c r="B93" s="17">
        <v>0.33716615694314356</v>
      </c>
      <c r="C93" s="17">
        <v>0.15159570167112224</v>
      </c>
      <c r="D93" s="20">
        <f t="shared" si="13"/>
        <v>1</v>
      </c>
      <c r="E93" s="17">
        <f t="array" ref="E93">SQRT(MMULT(A93:C93,MMULT($C$4:$E$6,TRANSPOSE(A93:C93))))</f>
        <v>0.12850945512474576</v>
      </c>
      <c r="F93" s="32">
        <f t="array" ref="F93">MMULT(A93:C93,$B$4:$B$6)</f>
        <v>8.7757359158015927E-2</v>
      </c>
      <c r="G93" s="33">
        <f t="shared" si="14"/>
        <v>8.9968013317884218E-2</v>
      </c>
      <c r="H93" s="16" t="s">
        <v>31</v>
      </c>
    </row>
    <row r="94" spans="1:8" x14ac:dyDescent="0.25">
      <c r="A94" s="17">
        <v>0.58060400417307945</v>
      </c>
      <c r="B94" s="17">
        <v>0.23397918497226466</v>
      </c>
      <c r="C94" s="17">
        <v>0.18541681085465589</v>
      </c>
      <c r="D94" s="20">
        <f t="shared" si="13"/>
        <v>1</v>
      </c>
      <c r="E94" s="17">
        <f t="array" ref="E94">SQRT(MMULT(A94:C94,MMULT($C$4:$E$6,TRANSPOSE(A94:C94))))</f>
        <v>0.15679788756188925</v>
      </c>
      <c r="F94" s="32">
        <f t="array" ref="F94">MMULT(A94:C94,$B$4:$B$6)</f>
        <v>8.8147279582459589E-2</v>
      </c>
      <c r="G94" s="33">
        <f t="shared" si="14"/>
        <v>9.0436891085312318E-2</v>
      </c>
      <c r="H94" s="16" t="s">
        <v>31</v>
      </c>
    </row>
    <row r="95" spans="1:8" x14ac:dyDescent="0.25">
      <c r="A95" s="17">
        <v>0.58962296424421701</v>
      </c>
      <c r="B95" s="17">
        <v>0.25185350410594654</v>
      </c>
      <c r="C95" s="17">
        <v>0.15852353164983646</v>
      </c>
      <c r="D95" s="20">
        <f t="shared" si="13"/>
        <v>1</v>
      </c>
      <c r="E95" s="17">
        <f t="array" ref="E95">SQRT(MMULT(A95:C95,MMULT($C$4:$E$6,TRANSPOSE(A95:C95))))</f>
        <v>0.1557185695181306</v>
      </c>
      <c r="F95" s="32">
        <f t="array" ref="F95">MMULT(A95:C95,$B$4:$B$6)</f>
        <v>8.9762512344834691E-2</v>
      </c>
      <c r="G95" s="33">
        <f t="shared" si="14"/>
        <v>9.2441713387740779E-2</v>
      </c>
      <c r="H95" s="16" t="s">
        <v>31</v>
      </c>
    </row>
    <row r="96" spans="1:8" x14ac:dyDescent="0.25">
      <c r="A96" s="17">
        <v>0.14698056156315376</v>
      </c>
      <c r="B96" s="17">
        <v>0.96610290118758668</v>
      </c>
      <c r="C96" s="17">
        <v>-0.11308346275074044</v>
      </c>
      <c r="D96" s="20">
        <f t="shared" si="13"/>
        <v>1</v>
      </c>
      <c r="E96" s="17">
        <f t="array" ref="E96">SQRT(MMULT(A96:C96,MMULT($C$4:$E$6,TRANSPOSE(A96:C96))))</f>
        <v>0.1516078041442171</v>
      </c>
      <c r="F96" s="32">
        <f t="array" ref="F96">MMULT(A96:C96,$B$4:$B$6)</f>
        <v>9.0063589984431633E-2</v>
      </c>
      <c r="G96" s="33">
        <f t="shared" si="14"/>
        <v>9.2826202708294378E-2</v>
      </c>
      <c r="H96" s="16" t="s">
        <v>31</v>
      </c>
    </row>
    <row r="97" spans="1:8" x14ac:dyDescent="0.25">
      <c r="A97" s="17">
        <v>0.67231674897153781</v>
      </c>
      <c r="B97" s="17">
        <v>0.14254385940376935</v>
      </c>
      <c r="C97" s="17">
        <v>0.18513939162469284</v>
      </c>
      <c r="D97" s="20">
        <f t="shared" si="13"/>
        <v>1</v>
      </c>
      <c r="E97" s="17">
        <f t="array" ref="E97">SQRT(MMULT(A97:C97,MMULT($C$4:$E$6,TRANSPOSE(A97:C97))))</f>
        <v>0.19014963780345703</v>
      </c>
      <c r="F97" s="32">
        <f t="array" ref="F97">MMULT(A97:C97,$B$4:$B$6)</f>
        <v>9.0912532887911485E-2</v>
      </c>
      <c r="G97" s="33">
        <f t="shared" si="14"/>
        <v>9.3927919942180721E-2</v>
      </c>
      <c r="H97" s="16" t="s">
        <v>31</v>
      </c>
    </row>
    <row r="98" spans="1:8" x14ac:dyDescent="0.25">
      <c r="A98" s="17">
        <v>0.32918511405796558</v>
      </c>
      <c r="B98" s="17">
        <v>0.70837980133876566</v>
      </c>
      <c r="C98" s="17">
        <v>-3.7564915396731235E-2</v>
      </c>
      <c r="D98" s="20">
        <f t="shared" si="13"/>
        <v>1</v>
      </c>
      <c r="E98" s="17">
        <f t="array" ref="E98">SQRT(MMULT(A98:C98,MMULT($C$4:$E$6,TRANSPOSE(A98:C98))))</f>
        <v>9.8982800813299993E-2</v>
      </c>
      <c r="F98" s="32">
        <f t="array" ref="F98">MMULT(A98:C98,$B$4:$B$6)</f>
        <v>9.175379919157553E-2</v>
      </c>
      <c r="G98" s="33">
        <f t="shared" si="14"/>
        <v>9.5044580142613896E-2</v>
      </c>
      <c r="H98" s="16" t="s">
        <v>31</v>
      </c>
    </row>
    <row r="99" spans="1:8" x14ac:dyDescent="0.25">
      <c r="A99" s="17">
        <v>0.43569324562494693</v>
      </c>
      <c r="B99" s="17">
        <v>0.55217185305794181</v>
      </c>
      <c r="C99" s="17">
        <v>1.2134901317111257E-2</v>
      </c>
      <c r="D99" s="20">
        <f t="shared" si="13"/>
        <v>1</v>
      </c>
      <c r="E99" s="17">
        <f t="array" ref="E99">SQRT(MMULT(A99:C99,MMULT($C$4:$E$6,TRANSPOSE(A99:C99))))</f>
        <v>9.9894274476138842E-2</v>
      </c>
      <c r="F99" s="32">
        <f t="array" ref="F99">MMULT(A99:C99,$B$4:$B$6)</f>
        <v>9.2464052302892855E-2</v>
      </c>
      <c r="G99" s="33">
        <f t="shared" si="14"/>
        <v>9.6006000518657139E-2</v>
      </c>
      <c r="H99" s="16" t="s">
        <v>31</v>
      </c>
    </row>
    <row r="100" spans="1:8" x14ac:dyDescent="0.25">
      <c r="A100" s="17">
        <v>0.26725692330574613</v>
      </c>
      <c r="B100" s="17">
        <v>0.82178497304668452</v>
      </c>
      <c r="C100" s="17">
        <v>-8.9041896352430649E-2</v>
      </c>
      <c r="D100" s="20">
        <f t="shared" si="13"/>
        <v>1</v>
      </c>
      <c r="E100" s="17">
        <f t="array" ref="E100">SQRT(MMULT(A100:C100,MMULT($C$4:$E$6,TRANSPOSE(A100:C100))))</f>
        <v>0.116045277347464</v>
      </c>
      <c r="F100" s="32">
        <f t="array" ref="F100">MMULT(A100:C100,$B$4:$B$6)</f>
        <v>9.2469802516793917E-2</v>
      </c>
      <c r="G100" s="33">
        <f t="shared" si="14"/>
        <v>9.6013852384048193E-2</v>
      </c>
      <c r="H100" s="16" t="s">
        <v>31</v>
      </c>
    </row>
    <row r="101" spans="1:8" x14ac:dyDescent="0.25">
      <c r="A101" s="17">
        <v>0.19156818884362303</v>
      </c>
      <c r="B101" s="17">
        <v>0.94390634663182493</v>
      </c>
      <c r="C101" s="17">
        <v>-0.13547453547544797</v>
      </c>
      <c r="D101" s="20">
        <f t="shared" ref="D101:D132" si="15">SUM(A101:C101)</f>
        <v>0.99999999999999989</v>
      </c>
      <c r="E101" s="17">
        <f t="array" ref="E101">SQRT(MMULT(A101:C101,MMULT($C$4:$E$6,TRANSPOSE(A101:C101))))</f>
        <v>0.14388108866365446</v>
      </c>
      <c r="F101" s="32">
        <f t="array" ref="F101">MMULT(A101:C101,$B$4:$B$6)</f>
        <v>9.2520772439081092E-2</v>
      </c>
      <c r="G101" s="33">
        <f t="shared" ref="G101:G132" si="16">SQRT($O$4*F101^2-2*$O$5*F101+$O$6)</f>
        <v>9.6083498723692137E-2</v>
      </c>
      <c r="H101" s="16" t="s">
        <v>31</v>
      </c>
    </row>
    <row r="102" spans="1:8" x14ac:dyDescent="0.25">
      <c r="A102" s="17">
        <v>0.18276006925691235</v>
      </c>
      <c r="B102" s="17">
        <v>0.96917192370110383</v>
      </c>
      <c r="C102" s="17">
        <v>-0.15193199295801618</v>
      </c>
      <c r="D102" s="20">
        <f t="shared" si="15"/>
        <v>0.99999999999999989</v>
      </c>
      <c r="E102" s="17">
        <f t="array" ref="E102">SQRT(MMULT(A102:C102,MMULT($C$4:$E$6,TRANSPOSE(A102:C102))))</f>
        <v>0.15006437710282006</v>
      </c>
      <c r="F102" s="32">
        <f t="array" ref="F102">MMULT(A102:C102,$B$4:$B$6)</f>
        <v>9.3079401725608177E-2</v>
      </c>
      <c r="G102" s="33">
        <f t="shared" si="16"/>
        <v>9.6852352251384083E-2</v>
      </c>
      <c r="H102" s="16" t="s">
        <v>31</v>
      </c>
    </row>
    <row r="103" spans="1:8" x14ac:dyDescent="0.25">
      <c r="A103" s="17">
        <v>0.73699663819040317</v>
      </c>
      <c r="B103" s="17">
        <v>8.3126909805754101E-2</v>
      </c>
      <c r="C103" s="17">
        <v>0.17987645200384272</v>
      </c>
      <c r="D103" s="20">
        <f t="shared" si="15"/>
        <v>1</v>
      </c>
      <c r="E103" s="17">
        <f t="array" ref="E103">SQRT(MMULT(A103:C103,MMULT($C$4:$E$6,TRANSPOSE(A103:C103))))</f>
        <v>0.21362435205393132</v>
      </c>
      <c r="F103" s="32">
        <f t="array" ref="F103">MMULT(A103:C103,$B$4:$B$6)</f>
        <v>9.3116076545519955E-2</v>
      </c>
      <c r="G103" s="33">
        <f t="shared" si="16"/>
        <v>9.6903179950982313E-2</v>
      </c>
      <c r="H103" s="16" t="s">
        <v>31</v>
      </c>
    </row>
    <row r="104" spans="1:8" x14ac:dyDescent="0.25">
      <c r="A104" s="17">
        <v>0.71712397060205857</v>
      </c>
      <c r="B104" s="17">
        <v>0.12302164464500287</v>
      </c>
      <c r="C104" s="17">
        <v>0.15985438475293856</v>
      </c>
      <c r="D104" s="20">
        <f t="shared" si="15"/>
        <v>1</v>
      </c>
      <c r="E104" s="17">
        <f t="array" ref="E104">SQRT(MMULT(A104:C104,MMULT($C$4:$E$6,TRANSPOSE(A104:C104))))</f>
        <v>0.20249750767970467</v>
      </c>
      <c r="F104" s="32">
        <f t="array" ref="F104">MMULT(A104:C104,$B$4:$B$6)</f>
        <v>9.3520999880414818E-2</v>
      </c>
      <c r="G104" s="33">
        <f t="shared" si="16"/>
        <v>9.7467200701053747E-2</v>
      </c>
      <c r="H104" s="16" t="s">
        <v>31</v>
      </c>
    </row>
    <row r="105" spans="1:8" x14ac:dyDescent="0.25">
      <c r="A105" s="17">
        <v>0.68847990427635908</v>
      </c>
      <c r="B105" s="17">
        <v>0.16910686022963617</v>
      </c>
      <c r="C105" s="17">
        <v>0.14241323549400475</v>
      </c>
      <c r="D105" s="20">
        <f t="shared" si="15"/>
        <v>1</v>
      </c>
      <c r="E105" s="17">
        <f t="array" ref="E105">SQRT(MMULT(A105:C105,MMULT($C$4:$E$6,TRANSPOSE(A105:C105))))</f>
        <v>0.18878187205449753</v>
      </c>
      <c r="F105" s="32">
        <f t="array" ref="F105">MMULT(A105:C105,$B$4:$B$6)</f>
        <v>9.3533735353590539E-2</v>
      </c>
      <c r="G105" s="33">
        <f t="shared" si="16"/>
        <v>9.7485023873389948E-2</v>
      </c>
      <c r="H105" s="16" t="s">
        <v>31</v>
      </c>
    </row>
    <row r="106" spans="1:8" x14ac:dyDescent="0.25">
      <c r="A106" s="17">
        <v>0.61014703550723803</v>
      </c>
      <c r="B106" s="17">
        <v>0.31854217875772761</v>
      </c>
      <c r="C106" s="17">
        <v>7.1310785735034354E-2</v>
      </c>
      <c r="D106" s="20">
        <f t="shared" si="15"/>
        <v>1</v>
      </c>
      <c r="E106" s="17">
        <f t="array" ref="E106">SQRT(MMULT(A106:C106,MMULT($C$4:$E$6,TRANSPOSE(A106:C106))))</f>
        <v>0.15017579466762024</v>
      </c>
      <c r="F106" s="32">
        <f t="array" ref="F106">MMULT(A106:C106,$B$4:$B$6)</f>
        <v>9.4738871778465433E-2</v>
      </c>
      <c r="G106" s="33">
        <f t="shared" si="16"/>
        <v>9.9194201743395605E-2</v>
      </c>
      <c r="H106" s="16" t="s">
        <v>31</v>
      </c>
    </row>
    <row r="107" spans="1:8" x14ac:dyDescent="0.25">
      <c r="A107" s="17">
        <v>0.45269302450430027</v>
      </c>
      <c r="B107" s="17">
        <v>0.57598571772411167</v>
      </c>
      <c r="C107" s="17">
        <v>-2.8678742228411935E-2</v>
      </c>
      <c r="D107" s="20">
        <f t="shared" si="15"/>
        <v>0.99999999999999989</v>
      </c>
      <c r="E107" s="17">
        <f t="array" ref="E107">SQRT(MMULT(A107:C107,MMULT($C$4:$E$6,TRANSPOSE(A107:C107))))</f>
        <v>0.10261625129131952</v>
      </c>
      <c r="F107" s="32">
        <f t="array" ref="F107">MMULT(A107:C107,$B$4:$B$6)</f>
        <v>9.5014727846549601E-2</v>
      </c>
      <c r="G107" s="33">
        <f t="shared" si="16"/>
        <v>9.9591590115033629E-2</v>
      </c>
      <c r="H107" s="16" t="s">
        <v>31</v>
      </c>
    </row>
    <row r="108" spans="1:8" x14ac:dyDescent="0.25">
      <c r="A108" s="17">
        <v>0.37314613969101262</v>
      </c>
      <c r="B108" s="17">
        <v>0.74515322879052026</v>
      </c>
      <c r="C108" s="17">
        <v>-0.11829936848153288</v>
      </c>
      <c r="D108" s="20">
        <f t="shared" si="15"/>
        <v>0.99999999999999989</v>
      </c>
      <c r="E108" s="17">
        <f t="array" ref="E108">SQRT(MMULT(A108:C108,MMULT($C$4:$E$6,TRANSPOSE(A108:C108))))</f>
        <v>0.10672759784082853</v>
      </c>
      <c r="F108" s="32">
        <f t="array" ref="F108">MMULT(A108:C108,$B$4:$B$6)</f>
        <v>9.7109352614807021E-2</v>
      </c>
      <c r="G108" s="33">
        <f t="shared" si="16"/>
        <v>0.10268009129308968</v>
      </c>
      <c r="H108" s="16" t="s">
        <v>31</v>
      </c>
    </row>
    <row r="109" spans="1:8" x14ac:dyDescent="0.25">
      <c r="A109" s="17">
        <v>0.67438944847415683</v>
      </c>
      <c r="B109" s="17">
        <v>0.28139142311496501</v>
      </c>
      <c r="C109" s="17">
        <v>4.4219128410878161E-2</v>
      </c>
      <c r="D109" s="20">
        <f t="shared" si="15"/>
        <v>1</v>
      </c>
      <c r="E109" s="17">
        <f t="array" ref="E109">SQRT(MMULT(A109:C109,MMULT($C$4:$E$6,TRANSPOSE(A109:C109))))</f>
        <v>0.16839407753983196</v>
      </c>
      <c r="F109" s="32">
        <f t="array" ref="F109">MMULT(A109:C109,$B$4:$B$6)</f>
        <v>9.8020727033680796E-2</v>
      </c>
      <c r="G109" s="33">
        <f t="shared" si="16"/>
        <v>0.10406128130477552</v>
      </c>
      <c r="H109" s="16" t="s">
        <v>31</v>
      </c>
    </row>
    <row r="110" spans="1:8" x14ac:dyDescent="0.25">
      <c r="A110" s="17">
        <v>0.65428960332594832</v>
      </c>
      <c r="B110" s="17">
        <v>0.32312877668299089</v>
      </c>
      <c r="C110" s="17">
        <v>2.2581619991060786E-2</v>
      </c>
      <c r="D110" s="20">
        <f t="shared" si="15"/>
        <v>1</v>
      </c>
      <c r="E110" s="17">
        <f t="array" ref="E110">SQRT(MMULT(A110:C110,MMULT($C$4:$E$6,TRANSPOSE(A110:C110))))</f>
        <v>0.15858760663408369</v>
      </c>
      <c r="F110" s="32">
        <f t="array" ref="F110">MMULT(A110:C110,$B$4:$B$6)</f>
        <v>9.84996071002254E-2</v>
      </c>
      <c r="G110" s="33">
        <f t="shared" si="16"/>
        <v>0.1047956542615824</v>
      </c>
      <c r="H110" s="16" t="s">
        <v>31</v>
      </c>
    </row>
    <row r="111" spans="1:8" x14ac:dyDescent="0.25">
      <c r="A111" s="17">
        <v>0.3527210545981313</v>
      </c>
      <c r="B111" s="17">
        <v>0.82368460926298936</v>
      </c>
      <c r="C111" s="17">
        <v>-0.17640566386112067</v>
      </c>
      <c r="D111" s="20">
        <f t="shared" si="15"/>
        <v>1</v>
      </c>
      <c r="E111" s="17">
        <f t="array" ref="E111">SQRT(MMULT(A111:C111,MMULT($C$4:$E$6,TRANSPOSE(A111:C111))))</f>
        <v>0.117959142552753</v>
      </c>
      <c r="F111" s="32">
        <f t="array" ref="F111">MMULT(A111:C111,$B$4:$B$6)</f>
        <v>9.9401914830999971E-2</v>
      </c>
      <c r="G111" s="33">
        <f t="shared" si="16"/>
        <v>0.10619498096850852</v>
      </c>
      <c r="H111" s="16" t="s">
        <v>31</v>
      </c>
    </row>
    <row r="112" spans="1:8" x14ac:dyDescent="0.25">
      <c r="A112" s="17">
        <v>0.85214421264711215</v>
      </c>
      <c r="B112" s="17">
        <v>2.5580002990868822E-2</v>
      </c>
      <c r="C112" s="17">
        <v>0.12227578436201902</v>
      </c>
      <c r="D112" s="20">
        <f t="shared" si="15"/>
        <v>1</v>
      </c>
      <c r="E112" s="17">
        <f t="array" ref="E112">SQRT(MMULT(A112:C112,MMULT($C$4:$E$6,TRANSPOSE(A112:C112))))</f>
        <v>0.24740265735802072</v>
      </c>
      <c r="F112" s="32">
        <f t="array" ref="F112">MMULT(A112:C112,$B$4:$B$6)</f>
        <v>9.9450537161312413E-2</v>
      </c>
      <c r="G112" s="33">
        <f t="shared" si="16"/>
        <v>0.1062709533525598</v>
      </c>
      <c r="H112" s="16" t="s">
        <v>31</v>
      </c>
    </row>
    <row r="113" spans="1:8" x14ac:dyDescent="0.25">
      <c r="A113" s="17">
        <v>0.49102280742193305</v>
      </c>
      <c r="B113" s="17">
        <v>0.63834608107844615</v>
      </c>
      <c r="C113" s="17">
        <v>-0.1293688885003792</v>
      </c>
      <c r="D113" s="20">
        <f t="shared" si="15"/>
        <v>1</v>
      </c>
      <c r="E113" s="17">
        <f t="array" ref="E113">SQRT(MMULT(A113:C113,MMULT($C$4:$E$6,TRANSPOSE(A113:C113))))</f>
        <v>0.11023493063571931</v>
      </c>
      <c r="F113" s="32">
        <f t="array" ref="F113">MMULT(A113:C113,$B$4:$B$6)</f>
        <v>0.10119912864767695</v>
      </c>
      <c r="G113" s="33">
        <f t="shared" si="16"/>
        <v>0.10904019368560278</v>
      </c>
      <c r="H113" s="16" t="s">
        <v>31</v>
      </c>
    </row>
    <row r="114" spans="1:8" x14ac:dyDescent="0.25">
      <c r="A114" s="17">
        <v>0.61338055128036717</v>
      </c>
      <c r="B114" s="17">
        <v>0.44513402371126265</v>
      </c>
      <c r="C114" s="17">
        <v>-5.851457499162982E-2</v>
      </c>
      <c r="D114" s="20">
        <f t="shared" si="15"/>
        <v>1</v>
      </c>
      <c r="E114" s="17">
        <f t="array" ref="E114">SQRT(MMULT(A114:C114,MMULT($C$4:$E$6,TRANSPOSE(A114:C114))))</f>
        <v>0.13716683068050636</v>
      </c>
      <c r="F114" s="32">
        <f t="array" ref="F114">MMULT(A114:C114,$B$4:$B$6)</f>
        <v>0.1013271452879925</v>
      </c>
      <c r="G114" s="33">
        <f t="shared" si="16"/>
        <v>0.10924568779800921</v>
      </c>
      <c r="H114" s="16" t="s">
        <v>31</v>
      </c>
    </row>
    <row r="115" spans="1:8" x14ac:dyDescent="0.25">
      <c r="A115" s="17">
        <v>0.35668361306514751</v>
      </c>
      <c r="B115" s="17">
        <v>0.85654831141708598</v>
      </c>
      <c r="C115" s="17">
        <v>-0.21323192448223349</v>
      </c>
      <c r="D115" s="20">
        <f t="shared" si="15"/>
        <v>0.99999999999999989</v>
      </c>
      <c r="E115" s="17">
        <f t="array" ref="E115">SQRT(MMULT(A115:C115,MMULT($C$4:$E$6,TRANSPOSE(A115:C115))))</f>
        <v>0.12400433109728753</v>
      </c>
      <c r="F115" s="32">
        <f t="array" ref="F115">MMULT(A115:C115,$B$4:$B$6)</f>
        <v>0.10136210461606611</v>
      </c>
      <c r="G115" s="33">
        <f t="shared" si="16"/>
        <v>0.10930186850604783</v>
      </c>
      <c r="H115" s="16" t="s">
        <v>31</v>
      </c>
    </row>
    <row r="116" spans="1:8" x14ac:dyDescent="0.25">
      <c r="A116" s="17">
        <v>0.89300961338824059</v>
      </c>
      <c r="B116" s="17">
        <v>2.8920267144635803E-2</v>
      </c>
      <c r="C116" s="17">
        <v>7.8070119467123611E-2</v>
      </c>
      <c r="D116" s="20">
        <f t="shared" si="15"/>
        <v>1</v>
      </c>
      <c r="E116" s="17">
        <f t="array" ref="E116">SQRT(MMULT(A116:C116,MMULT($C$4:$E$6,TRANSPOSE(A116:C116))))</f>
        <v>0.25522197752915854</v>
      </c>
      <c r="F116" s="32">
        <f t="array" ref="F116">MMULT(A116:C116,$B$4:$B$6)</f>
        <v>0.10288678242829104</v>
      </c>
      <c r="G116" s="33">
        <f t="shared" si="16"/>
        <v>0.11177792987515095</v>
      </c>
      <c r="H116" s="16" t="s">
        <v>31</v>
      </c>
    </row>
    <row r="117" spans="1:8" x14ac:dyDescent="0.25">
      <c r="A117" s="17">
        <v>0.70135703506883074</v>
      </c>
      <c r="B117" s="17">
        <v>0.34057532896446052</v>
      </c>
      <c r="C117" s="17">
        <v>-4.1932364033291258E-2</v>
      </c>
      <c r="D117" s="20">
        <f t="shared" si="15"/>
        <v>0.99999999999999989</v>
      </c>
      <c r="E117" s="17">
        <f t="array" ref="E117">SQRT(MMULT(A117:C117,MMULT($C$4:$E$6,TRANSPOSE(A117:C117))))</f>
        <v>0.16626603505198573</v>
      </c>
      <c r="F117" s="32">
        <f t="array" ref="F117">MMULT(A117:C117,$B$4:$B$6)</f>
        <v>0.1031373292537295</v>
      </c>
      <c r="G117" s="33">
        <f t="shared" si="16"/>
        <v>0.11218952503185982</v>
      </c>
      <c r="H117" s="16" t="s">
        <v>31</v>
      </c>
    </row>
    <row r="118" spans="1:8" x14ac:dyDescent="0.25">
      <c r="A118" s="17">
        <v>0.68459618575328451</v>
      </c>
      <c r="B118" s="17">
        <v>0.3776893802968484</v>
      </c>
      <c r="C118" s="17">
        <v>-6.2285566050132912E-2</v>
      </c>
      <c r="D118" s="20">
        <f t="shared" si="15"/>
        <v>1</v>
      </c>
      <c r="E118" s="17">
        <f t="array" ref="E118">SQRT(MMULT(A118:C118,MMULT($C$4:$E$6,TRANSPOSE(A118:C118))))</f>
        <v>0.15843551946538784</v>
      </c>
      <c r="F118" s="32">
        <f t="array" ref="F118">MMULT(A118:C118,$B$4:$B$6)</f>
        <v>0.10365216387510519</v>
      </c>
      <c r="G118" s="33">
        <f t="shared" si="16"/>
        <v>0.11303932287825685</v>
      </c>
      <c r="H118" s="16" t="s">
        <v>31</v>
      </c>
    </row>
    <row r="119" spans="1:8" x14ac:dyDescent="0.25">
      <c r="A119" s="17">
        <v>0.47947671404077874</v>
      </c>
      <c r="B119" s="17">
        <v>0.71352413031487716</v>
      </c>
      <c r="C119" s="17">
        <v>-0.1930008443556559</v>
      </c>
      <c r="D119" s="20">
        <f t="shared" si="15"/>
        <v>1</v>
      </c>
      <c r="E119" s="17">
        <f t="array" ref="E119">SQRT(MMULT(A119:C119,MMULT($C$4:$E$6,TRANSPOSE(A119:C119))))</f>
        <v>0.11373595316245777</v>
      </c>
      <c r="F119" s="32">
        <f t="array" ref="F119">MMULT(A119:C119,$B$4:$B$6)</f>
        <v>0.10403434363900615</v>
      </c>
      <c r="G119" s="33">
        <f t="shared" si="16"/>
        <v>0.11367360869754443</v>
      </c>
      <c r="H119" s="16" t="s">
        <v>31</v>
      </c>
    </row>
    <row r="120" spans="1:8" x14ac:dyDescent="0.25">
      <c r="A120" s="17">
        <v>0.82399763415587102</v>
      </c>
      <c r="B120" s="17">
        <v>0.19774143775553321</v>
      </c>
      <c r="C120" s="17">
        <v>-2.1739071911404229E-2</v>
      </c>
      <c r="D120" s="20">
        <f t="shared" si="15"/>
        <v>0.99999999999999989</v>
      </c>
      <c r="E120" s="17">
        <f t="array" ref="E120">SQRT(MMULT(A120:C120,MMULT($C$4:$E$6,TRANSPOSE(A120:C120))))</f>
        <v>0.21235210867642582</v>
      </c>
      <c r="F120" s="32">
        <f t="array" ref="F120">MMULT(A120:C120,$B$4:$B$6)</f>
        <v>0.10580688262024635</v>
      </c>
      <c r="G120" s="33">
        <f t="shared" si="16"/>
        <v>0.11665239116721129</v>
      </c>
      <c r="H120" s="16" t="s">
        <v>31</v>
      </c>
    </row>
    <row r="121" spans="1:8" x14ac:dyDescent="0.25">
      <c r="A121" s="17">
        <v>0.55741130282993934</v>
      </c>
      <c r="B121" s="17">
        <v>0.63345903410398308</v>
      </c>
      <c r="C121" s="17">
        <v>-0.19087033693392241</v>
      </c>
      <c r="D121" s="20">
        <f t="shared" si="15"/>
        <v>1</v>
      </c>
      <c r="E121" s="17">
        <f t="array" ref="E121">SQRT(MMULT(A121:C121,MMULT($C$4:$E$6,TRANSPOSE(A121:C121))))</f>
        <v>0.12083019042317186</v>
      </c>
      <c r="F121" s="32">
        <f t="array" ref="F121">MMULT(A121:C121,$B$4:$B$6)</f>
        <v>0.10626585593159431</v>
      </c>
      <c r="G121" s="33">
        <f t="shared" si="16"/>
        <v>0.11743325017290825</v>
      </c>
      <c r="H121" s="16" t="s">
        <v>31</v>
      </c>
    </row>
    <row r="122" spans="1:8" x14ac:dyDescent="0.25">
      <c r="A122" s="17">
        <v>0.44174887760326187</v>
      </c>
      <c r="B122" s="17">
        <v>0.85777149641868844</v>
      </c>
      <c r="C122" s="17">
        <v>-0.29952037402195031</v>
      </c>
      <c r="D122" s="20">
        <f t="shared" si="15"/>
        <v>1</v>
      </c>
      <c r="E122" s="17">
        <f t="array" ref="E122">SQRT(MMULT(A122:C122,MMULT($C$4:$E$6,TRANSPOSE(A122:C122))))</f>
        <v>0.12880018028002552</v>
      </c>
      <c r="F122" s="32">
        <f t="array" ref="F122">MMULT(A122:C122,$B$4:$B$6)</f>
        <v>0.10822848502919537</v>
      </c>
      <c r="G122" s="33">
        <f t="shared" si="16"/>
        <v>0.1208139853130908</v>
      </c>
      <c r="H122" s="16" t="s">
        <v>31</v>
      </c>
    </row>
    <row r="123" spans="1:8" x14ac:dyDescent="0.25">
      <c r="A123" s="17">
        <v>0.96176223581594711</v>
      </c>
      <c r="B123" s="17">
        <v>2.6440039748249045E-2</v>
      </c>
      <c r="C123" s="17">
        <v>1.1797724435803847E-2</v>
      </c>
      <c r="D123" s="20">
        <f t="shared" si="15"/>
        <v>1</v>
      </c>
      <c r="E123" s="17">
        <f t="array" ref="E123">SQRT(MMULT(A123:C123,MMULT($C$4:$E$6,TRANSPOSE(A123:C123))))</f>
        <v>0.27008251986940052</v>
      </c>
      <c r="F123" s="32">
        <f t="array" ref="F123">MMULT(A123:C123,$B$4:$B$6)</f>
        <v>0.10826298085268823</v>
      </c>
      <c r="G123" s="33">
        <f t="shared" si="16"/>
        <v>0.12087398930422726</v>
      </c>
      <c r="H123" s="16" t="s">
        <v>31</v>
      </c>
    </row>
    <row r="124" spans="1:8" x14ac:dyDescent="0.25">
      <c r="A124" s="17">
        <v>0.93231845662448187</v>
      </c>
      <c r="B124" s="17">
        <v>9.1668979667433592E-2</v>
      </c>
      <c r="C124" s="17">
        <v>-2.3987436291915465E-2</v>
      </c>
      <c r="D124" s="20">
        <f t="shared" si="15"/>
        <v>1</v>
      </c>
      <c r="E124" s="17">
        <f t="array" ref="E124">SQRT(MMULT(A124:C124,MMULT($C$4:$E$6,TRANSPOSE(A124:C124))))</f>
        <v>0.25263127351198389</v>
      </c>
      <c r="F124" s="32">
        <f t="array" ref="F124">MMULT(A124:C124,$B$4:$B$6)</f>
        <v>0.10916892551333023</v>
      </c>
      <c r="G124" s="33">
        <f t="shared" si="16"/>
        <v>0.12245675491417018</v>
      </c>
      <c r="H124" s="16" t="s">
        <v>31</v>
      </c>
    </row>
    <row r="125" spans="1:8" x14ac:dyDescent="0.25">
      <c r="A125" s="17">
        <v>0.44927850922190915</v>
      </c>
      <c r="B125" s="17">
        <v>0.88063755057802562</v>
      </c>
      <c r="C125" s="17">
        <v>-0.32991605979993477</v>
      </c>
      <c r="D125" s="20">
        <f t="shared" si="15"/>
        <v>0.99999999999999989</v>
      </c>
      <c r="E125" s="17">
        <f t="array" ref="E125">SQRT(MMULT(A125:C125,MMULT($C$4:$E$6,TRANSPOSE(A125:C125))))</f>
        <v>0.13316655490347978</v>
      </c>
      <c r="F125" s="32">
        <f t="array" ref="F125">MMULT(A125:C125,$B$4:$B$6)</f>
        <v>0.10997415826665401</v>
      </c>
      <c r="G125" s="33">
        <f t="shared" si="16"/>
        <v>0.12387447409637224</v>
      </c>
      <c r="H125" s="16" t="s">
        <v>31</v>
      </c>
    </row>
    <row r="126" spans="1:8" x14ac:dyDescent="0.25">
      <c r="A126" s="17">
        <v>0.85585425807185278</v>
      </c>
      <c r="B126" s="17">
        <v>0.24311130410233606</v>
      </c>
      <c r="C126" s="17">
        <v>-9.8965562174188837E-2</v>
      </c>
      <c r="D126" s="20">
        <f t="shared" si="15"/>
        <v>0.99999999999999989</v>
      </c>
      <c r="E126" s="17">
        <f t="array" ref="E126">SQRT(MMULT(A126:C126,MMULT($C$4:$E$6,TRANSPOSE(A126:C126))))</f>
        <v>0.21254885569711121</v>
      </c>
      <c r="F126" s="32">
        <f t="array" ref="F126">MMULT(A126:C126,$B$4:$B$6)</f>
        <v>0.11062390585086503</v>
      </c>
      <c r="G126" s="33">
        <f t="shared" si="16"/>
        <v>0.12502567506674173</v>
      </c>
      <c r="H126" s="16" t="s">
        <v>31</v>
      </c>
    </row>
    <row r="127" spans="1:8" x14ac:dyDescent="0.25">
      <c r="A127" s="17">
        <v>0.70529813521299789</v>
      </c>
      <c r="B127" s="17">
        <v>0.51108990939339083</v>
      </c>
      <c r="C127" s="17">
        <v>-0.21638804460638872</v>
      </c>
      <c r="D127" s="20">
        <f t="shared" si="15"/>
        <v>0.99999999999999989</v>
      </c>
      <c r="E127" s="17">
        <f t="array" ref="E127">SQRT(MMULT(A127:C127,MMULT($C$4:$E$6,TRANSPOSE(A127:C127))))</f>
        <v>0.15181371904904067</v>
      </c>
      <c r="F127" s="32">
        <f t="array" ref="F127">MMULT(A127:C127,$B$4:$B$6)</f>
        <v>0.11197834628670938</v>
      </c>
      <c r="G127" s="33">
        <f t="shared" si="16"/>
        <v>0.12744538699211502</v>
      </c>
      <c r="H127" s="16" t="s">
        <v>31</v>
      </c>
    </row>
    <row r="128" spans="1:8" x14ac:dyDescent="0.25">
      <c r="A128" s="17">
        <v>0.75728667380349901</v>
      </c>
      <c r="B128" s="17">
        <v>0.42808440786276503</v>
      </c>
      <c r="C128" s="17">
        <v>-0.18537108166626404</v>
      </c>
      <c r="D128" s="20">
        <f t="shared" si="15"/>
        <v>0.99999999999999989</v>
      </c>
      <c r="E128" s="17">
        <f t="array" ref="E128">SQRT(MMULT(A128:C128,MMULT($C$4:$E$6,TRANSPOSE(A128:C128))))</f>
        <v>0.16906967626342628</v>
      </c>
      <c r="F128" s="32">
        <f t="array" ref="F128">MMULT(A128:C128,$B$4:$B$6)</f>
        <v>0.11198715429741818</v>
      </c>
      <c r="G128" s="33">
        <f t="shared" si="16"/>
        <v>0.12746120833191574</v>
      </c>
      <c r="H128" s="16" t="s">
        <v>31</v>
      </c>
    </row>
    <row r="129" spans="1:8" x14ac:dyDescent="0.25">
      <c r="A129" s="17">
        <v>0.96057950864196218</v>
      </c>
      <c r="B129" s="17">
        <v>0.1142988962535143</v>
      </c>
      <c r="C129" s="17">
        <v>-7.487840489547648E-2</v>
      </c>
      <c r="D129" s="20">
        <f t="shared" si="15"/>
        <v>1</v>
      </c>
      <c r="E129" s="17">
        <f t="array" ref="E129">SQRT(MMULT(A129:C129,MMULT($C$4:$E$6,TRANSPOSE(A129:C129))))</f>
        <v>0.25500512799556085</v>
      </c>
      <c r="F129" s="32">
        <f t="array" ref="F129">MMULT(A129:C129,$B$4:$B$6)</f>
        <v>0.11256130550403269</v>
      </c>
      <c r="G129" s="33">
        <f t="shared" si="16"/>
        <v>0.12849485125513366</v>
      </c>
      <c r="H129" s="16" t="s">
        <v>31</v>
      </c>
    </row>
    <row r="130" spans="1:8" x14ac:dyDescent="0.25">
      <c r="A130" s="17">
        <v>0.50861665595182282</v>
      </c>
      <c r="B130" s="17">
        <v>0.84921809659097203</v>
      </c>
      <c r="C130" s="17">
        <v>-0.35783475254279484</v>
      </c>
      <c r="D130" s="20">
        <f t="shared" si="15"/>
        <v>0.99999999999999989</v>
      </c>
      <c r="E130" s="17">
        <f t="array" ref="E130">SQRT(MMULT(A130:C130,MMULT($C$4:$E$6,TRANSPOSE(A130:C130))))</f>
        <v>0.13331656280895943</v>
      </c>
      <c r="F130" s="32">
        <f t="array" ref="F130">MMULT(A130:C130,$B$4:$B$6)</f>
        <v>0.11315023730569444</v>
      </c>
      <c r="G130" s="33">
        <f t="shared" si="16"/>
        <v>0.12955978829283413</v>
      </c>
      <c r="H130" s="16" t="s">
        <v>31</v>
      </c>
    </row>
    <row r="131" spans="1:8" x14ac:dyDescent="0.25">
      <c r="A131" s="17">
        <v>0.63657482237542717</v>
      </c>
      <c r="B131" s="17">
        <v>0.66915080289723639</v>
      </c>
      <c r="C131" s="17">
        <v>-0.30572562527266356</v>
      </c>
      <c r="D131" s="20">
        <f t="shared" si="15"/>
        <v>1</v>
      </c>
      <c r="E131" s="17">
        <f t="array" ref="E131">SQRT(MMULT(A131:C131,MMULT($C$4:$E$6,TRANSPOSE(A131:C131))))</f>
        <v>0.13590222862962195</v>
      </c>
      <c r="F131" s="32">
        <f t="array" ref="F131">MMULT(A131:C131,$B$4:$B$6)</f>
        <v>0.11438352593489601</v>
      </c>
      <c r="G131" s="33">
        <f t="shared" si="16"/>
        <v>0.13180474859894278</v>
      </c>
      <c r="H131" s="16" t="s">
        <v>31</v>
      </c>
    </row>
    <row r="132" spans="1:8" x14ac:dyDescent="0.25">
      <c r="A132" s="17">
        <v>0.79642950268862778</v>
      </c>
      <c r="B132" s="17">
        <v>0.42512631294357595</v>
      </c>
      <c r="C132" s="17">
        <v>-0.22155581563220372</v>
      </c>
      <c r="D132" s="20">
        <f t="shared" si="15"/>
        <v>1</v>
      </c>
      <c r="E132" s="17">
        <f t="array" ref="E132">SQRT(MMULT(A132:C132,MMULT($C$4:$E$6,TRANSPOSE(A132:C132))))</f>
        <v>0.17792796184311954</v>
      </c>
      <c r="F132" s="32">
        <f t="array" ref="F132">MMULT(A132:C132,$B$4:$B$6)</f>
        <v>0.11497067586226903</v>
      </c>
      <c r="G132" s="33">
        <f t="shared" si="16"/>
        <v>0.13288037618687576</v>
      </c>
      <c r="H132" s="16" t="s">
        <v>31</v>
      </c>
    </row>
    <row r="133" spans="1:8" x14ac:dyDescent="0.25">
      <c r="A133" s="17">
        <v>0.58944048029588625</v>
      </c>
      <c r="B133" s="17">
        <v>0.76073944447105013</v>
      </c>
      <c r="C133" s="17">
        <v>-0.35017992476693638</v>
      </c>
      <c r="D133" s="20">
        <f t="shared" ref="D133:D161" si="17">SUM(A133:C133)</f>
        <v>1</v>
      </c>
      <c r="E133" s="17">
        <f t="array" ref="E133">SQRT(MMULT(A133:C133,MMULT($C$4:$E$6,TRANSPOSE(A133:C133))))</f>
        <v>0.13332789785131458</v>
      </c>
      <c r="F133" s="32">
        <f t="array" ref="F133">MMULT(A133:C133,$B$4:$B$6)</f>
        <v>0.11519221064722342</v>
      </c>
      <c r="G133" s="33">
        <f t="shared" ref="G133:G161" si="18">SQRT($O$4*F133^2-2*$O$5*F133+$O$6)</f>
        <v>0.13328732988920719</v>
      </c>
      <c r="H133" s="16" t="s">
        <v>31</v>
      </c>
    </row>
    <row r="134" spans="1:8" x14ac:dyDescent="0.25">
      <c r="A134" s="17">
        <v>0.93849132740363328</v>
      </c>
      <c r="B134" s="17">
        <v>0.20569414199206881</v>
      </c>
      <c r="C134" s="17">
        <v>-0.14418546939570209</v>
      </c>
      <c r="D134" s="20">
        <f t="shared" si="17"/>
        <v>1</v>
      </c>
      <c r="E134" s="17">
        <f t="array" ref="E134">SQRT(MMULT(A134:C134,MMULT($C$4:$E$6,TRANSPOSE(A134:C134))))</f>
        <v>0.23610236899782286</v>
      </c>
      <c r="F134" s="32">
        <f t="array" ref="F134">MMULT(A134:C134,$B$4:$B$6)</f>
        <v>0.11536401329189411</v>
      </c>
      <c r="G134" s="33">
        <f t="shared" si="18"/>
        <v>0.13360334136036647</v>
      </c>
      <c r="H134" s="16" t="s">
        <v>31</v>
      </c>
    </row>
    <row r="135" spans="1:8" x14ac:dyDescent="0.25">
      <c r="A135" s="17">
        <v>0.60221986735458943</v>
      </c>
      <c r="B135" s="17">
        <v>0.74642602564051563</v>
      </c>
      <c r="C135" s="17">
        <v>-0.34864589299510507</v>
      </c>
      <c r="D135" s="20">
        <f t="shared" si="17"/>
        <v>1</v>
      </c>
      <c r="E135" s="17">
        <f t="array" ref="E135">SQRT(MMULT(A135:C135,MMULT($C$4:$E$6,TRANSPOSE(A135:C135))))</f>
        <v>0.13414428096813794</v>
      </c>
      <c r="F135" s="32">
        <f t="array" ref="F135">MMULT(A135:C135,$B$4:$B$6)</f>
        <v>0.11549889067039293</v>
      </c>
      <c r="G135" s="33">
        <f t="shared" si="18"/>
        <v>0.13385168483070142</v>
      </c>
      <c r="H135" s="16" t="s">
        <v>31</v>
      </c>
    </row>
    <row r="136" spans="1:8" x14ac:dyDescent="0.25">
      <c r="A136" s="17">
        <v>0.97499968196140296</v>
      </c>
      <c r="B136" s="17">
        <v>0.17215722366684816</v>
      </c>
      <c r="C136" s="17">
        <v>-0.14715690562825112</v>
      </c>
      <c r="D136" s="20">
        <f t="shared" si="17"/>
        <v>1</v>
      </c>
      <c r="E136" s="17">
        <f t="array" ref="E136">SQRT(MMULT(A136:C136,MMULT($C$4:$E$6,TRANSPOSE(A136:C136))))</f>
        <v>0.24913564079196965</v>
      </c>
      <c r="F136" s="32">
        <f t="array" ref="F136">MMULT(A136:C136,$B$4:$B$6)</f>
        <v>0.11660783574025464</v>
      </c>
      <c r="G136" s="33">
        <f t="shared" si="18"/>
        <v>0.13590177045745691</v>
      </c>
      <c r="H136" s="16" t="s">
        <v>31</v>
      </c>
    </row>
    <row r="137" spans="1:8" x14ac:dyDescent="0.25">
      <c r="A137" s="17">
        <v>0.46474549339275739</v>
      </c>
      <c r="B137" s="17">
        <v>0.99178071151737279</v>
      </c>
      <c r="C137" s="17">
        <v>-0.45652620491013018</v>
      </c>
      <c r="D137" s="20">
        <f t="shared" si="17"/>
        <v>1</v>
      </c>
      <c r="E137" s="17">
        <f t="array" ref="E137">SQRT(MMULT(A137:C137,MMULT($C$4:$E$6,TRANSPOSE(A137:C137))))</f>
        <v>0.15449745520195876</v>
      </c>
      <c r="F137" s="32">
        <f t="array" ref="F137">MMULT(A137:C137,$B$4:$B$6)</f>
        <v>0.11676867504728924</v>
      </c>
      <c r="G137" s="33">
        <f t="shared" si="18"/>
        <v>0.13620030729890703</v>
      </c>
      <c r="H137" s="16" t="s">
        <v>31</v>
      </c>
    </row>
    <row r="138" spans="1:8" x14ac:dyDescent="0.25">
      <c r="A138" s="17">
        <v>0.96518652293576013</v>
      </c>
      <c r="B138" s="17">
        <v>0.19845817380736264</v>
      </c>
      <c r="C138" s="17">
        <v>-0.16364469674312276</v>
      </c>
      <c r="D138" s="20">
        <f t="shared" si="17"/>
        <v>1</v>
      </c>
      <c r="E138" s="17">
        <f t="array" ref="E138">SQRT(MMULT(A138:C138,MMULT($C$4:$E$6,TRANSPOSE(A138:C138))))</f>
        <v>0.2430692084541396</v>
      </c>
      <c r="F138" s="32">
        <f t="array" ref="F138">MMULT(A138:C138,$B$4:$B$6)</f>
        <v>0.11713783052522896</v>
      </c>
      <c r="G138" s="33">
        <f t="shared" si="18"/>
        <v>0.13688662425372594</v>
      </c>
      <c r="H138" s="16" t="s">
        <v>31</v>
      </c>
    </row>
    <row r="139" spans="1:8" x14ac:dyDescent="0.25">
      <c r="A139" s="17">
        <v>0.50793359503848368</v>
      </c>
      <c r="B139" s="17">
        <v>0.96128492957180345</v>
      </c>
      <c r="C139" s="17">
        <v>-0.46921852461028712</v>
      </c>
      <c r="D139" s="20">
        <f t="shared" si="17"/>
        <v>1</v>
      </c>
      <c r="E139" s="17">
        <f t="array" ref="E139">SQRT(MMULT(A139:C139,MMULT($C$4:$E$6,TRANSPOSE(A139:C139))))</f>
        <v>0.15151485123906741</v>
      </c>
      <c r="F139" s="32">
        <f t="array" ref="F139">MMULT(A139:C139,$B$4:$B$6)</f>
        <v>0.11869893408166889</v>
      </c>
      <c r="G139" s="33">
        <f t="shared" si="18"/>
        <v>0.13980573423769421</v>
      </c>
      <c r="H139" s="16" t="s">
        <v>31</v>
      </c>
    </row>
    <row r="140" spans="1:8" x14ac:dyDescent="0.25">
      <c r="A140" s="17">
        <v>0.88758387922116766</v>
      </c>
      <c r="B140" s="17">
        <v>0.36044507960410288</v>
      </c>
      <c r="C140" s="17">
        <v>-0.24802895882527054</v>
      </c>
      <c r="D140" s="20">
        <f t="shared" si="17"/>
        <v>0.99999999999999989</v>
      </c>
      <c r="E140" s="17">
        <f t="array" ref="E140">SQRT(MMULT(A140:C140,MMULT($C$4:$E$6,TRANSPOSE(A140:C140))))</f>
        <v>0.2047902340973819</v>
      </c>
      <c r="F140" s="32">
        <f t="array" ref="F140">MMULT(A140:C140,$B$4:$B$6)</f>
        <v>0.11902896431789857</v>
      </c>
      <c r="G140" s="33">
        <f t="shared" si="18"/>
        <v>0.14042622877042887</v>
      </c>
      <c r="H140" s="16" t="s">
        <v>31</v>
      </c>
    </row>
    <row r="141" spans="1:8" x14ac:dyDescent="0.25">
      <c r="A141" s="17">
        <v>0.72216011755546772</v>
      </c>
      <c r="B141" s="17">
        <v>0.67218880205891307</v>
      </c>
      <c r="C141" s="17">
        <v>-0.39434891961438079</v>
      </c>
      <c r="D141" s="20">
        <f t="shared" si="17"/>
        <v>1</v>
      </c>
      <c r="E141" s="17">
        <f t="array" ref="E141">SQRT(MMULT(A141:C141,MMULT($C$4:$E$6,TRANSPOSE(A141:C141))))</f>
        <v>0.15222060708095092</v>
      </c>
      <c r="F141" s="32">
        <f t="array" ref="F141">MMULT(A141:C141,$B$4:$B$6)</f>
        <v>0.12138224950738308</v>
      </c>
      <c r="G141" s="33">
        <f t="shared" si="18"/>
        <v>0.14488289389493317</v>
      </c>
      <c r="H141" s="16" t="s">
        <v>31</v>
      </c>
    </row>
    <row r="142" spans="1:8" x14ac:dyDescent="0.25">
      <c r="A142" s="17">
        <v>0.53545475585915014</v>
      </c>
      <c r="B142" s="17">
        <v>0.97254866580582688</v>
      </c>
      <c r="C142" s="17">
        <v>-0.50800342166497703</v>
      </c>
      <c r="D142" s="20">
        <f t="shared" si="17"/>
        <v>1</v>
      </c>
      <c r="E142" s="17">
        <f t="array" ref="E142">SQRT(MMULT(A142:C142,MMULT($C$4:$E$6,TRANSPOSE(A142:C142))))</f>
        <v>0.15565705562171553</v>
      </c>
      <c r="F142" s="32">
        <f t="array" ref="F142">MMULT(A142:C142,$B$4:$B$6)</f>
        <v>0.12146381375902336</v>
      </c>
      <c r="G142" s="33">
        <f t="shared" si="18"/>
        <v>0.1450383375140564</v>
      </c>
      <c r="H142" s="16" t="s">
        <v>31</v>
      </c>
    </row>
    <row r="143" spans="1:8" x14ac:dyDescent="0.25">
      <c r="A143" s="17">
        <v>0.75950000765957948</v>
      </c>
      <c r="B143" s="17">
        <v>0.62425340437413279</v>
      </c>
      <c r="C143" s="17">
        <v>-0.38375341203371227</v>
      </c>
      <c r="D143" s="20">
        <f t="shared" si="17"/>
        <v>1</v>
      </c>
      <c r="E143" s="17">
        <f t="array" ref="E143">SQRT(MMULT(A143:C143,MMULT($C$4:$E$6,TRANSPOSE(A143:C143))))</f>
        <v>0.15958964477868803</v>
      </c>
      <c r="F143" s="32">
        <f t="array" ref="F143">MMULT(A143:C143,$B$4:$B$6)</f>
        <v>0.12197267083147301</v>
      </c>
      <c r="G143" s="33">
        <f t="shared" si="18"/>
        <v>0.14600952879428414</v>
      </c>
      <c r="H143" s="16" t="s">
        <v>31</v>
      </c>
    </row>
    <row r="144" spans="1:8" x14ac:dyDescent="0.25">
      <c r="A144" s="17">
        <v>0.56111583797623887</v>
      </c>
      <c r="B144" s="17">
        <v>0.94641650746404982</v>
      </c>
      <c r="C144" s="17">
        <v>-0.50753234544028869</v>
      </c>
      <c r="D144" s="20">
        <f t="shared" si="17"/>
        <v>1</v>
      </c>
      <c r="E144" s="17">
        <f t="array" ref="E144">SQRT(MMULT(A144:C144,MMULT($C$4:$E$6,TRANSPOSE(A144:C144))))</f>
        <v>0.15350371752972525</v>
      </c>
      <c r="F144" s="32">
        <f t="array" ref="F144">MMULT(A144:C144,$B$4:$B$6)</f>
        <v>0.1222100924113016</v>
      </c>
      <c r="G144" s="33">
        <f t="shared" si="18"/>
        <v>0.14646349440249834</v>
      </c>
      <c r="H144" s="16" t="s">
        <v>31</v>
      </c>
    </row>
    <row r="145" spans="1:8" x14ac:dyDescent="0.25">
      <c r="A145" s="17">
        <v>0.54744034479325554</v>
      </c>
      <c r="B145" s="17">
        <v>0.99333929222247774</v>
      </c>
      <c r="C145" s="17">
        <v>-0.54077963701573328</v>
      </c>
      <c r="D145" s="20">
        <f t="shared" si="17"/>
        <v>0.99999999999999989</v>
      </c>
      <c r="E145" s="17">
        <f t="array" ref="E145">SQRT(MMULT(A145:C145,MMULT($C$4:$E$6,TRANSPOSE(A145:C145))))</f>
        <v>0.16031202266507683</v>
      </c>
      <c r="F145" s="32">
        <f t="array" ref="F145">MMULT(A145:C145,$B$4:$B$6)</f>
        <v>0.12346219219458435</v>
      </c>
      <c r="G145" s="33">
        <f t="shared" si="18"/>
        <v>0.14886609307367377</v>
      </c>
      <c r="H145" s="16" t="s">
        <v>31</v>
      </c>
    </row>
    <row r="146" spans="1:8" x14ac:dyDescent="0.25">
      <c r="A146" s="17">
        <v>0.58035450717005188</v>
      </c>
      <c r="B146" s="17">
        <v>0.94189323951747739</v>
      </c>
      <c r="C146" s="17">
        <v>-0.52224774668752927</v>
      </c>
      <c r="D146" s="20">
        <f t="shared" si="17"/>
        <v>1</v>
      </c>
      <c r="E146" s="17">
        <f t="array" ref="E146">SQRT(MMULT(A146:C146,MMULT($C$4:$E$6,TRANSPOSE(A146:C146))))</f>
        <v>0.15469715130162925</v>
      </c>
      <c r="F146" s="32">
        <f t="array" ref="F146">MMULT(A146:C146,$B$4:$B$6)</f>
        <v>0.12352302254947803</v>
      </c>
      <c r="G146" s="33">
        <f t="shared" si="18"/>
        <v>0.14898317454782142</v>
      </c>
      <c r="H146" s="16" t="s">
        <v>31</v>
      </c>
    </row>
    <row r="147" spans="1:8" x14ac:dyDescent="0.25">
      <c r="A147" s="17">
        <v>0.90026465090189722</v>
      </c>
      <c r="B147" s="17">
        <v>0.43761055758583978</v>
      </c>
      <c r="C147" s="17">
        <v>-0.337875208487737</v>
      </c>
      <c r="D147" s="20">
        <f t="shared" si="17"/>
        <v>1</v>
      </c>
      <c r="E147" s="17">
        <f t="array" ref="E147">SQRT(MMULT(A147:C147,MMULT($C$4:$E$6,TRANSPOSE(A147:C147))))</f>
        <v>0.20004637066980679</v>
      </c>
      <c r="F147" s="32">
        <f t="array" ref="F147">MMULT(A147:C147,$B$4:$B$6)</f>
        <v>0.12390169995144379</v>
      </c>
      <c r="G147" s="33">
        <f t="shared" si="18"/>
        <v>0.14971275036661619</v>
      </c>
      <c r="H147" s="16" t="s">
        <v>31</v>
      </c>
    </row>
    <row r="148" spans="1:8" x14ac:dyDescent="0.25">
      <c r="A148" s="17">
        <v>0.93329658751701383</v>
      </c>
      <c r="B148" s="17">
        <v>0.39165020397708172</v>
      </c>
      <c r="C148" s="17">
        <v>-0.32494679149409555</v>
      </c>
      <c r="D148" s="20">
        <f t="shared" si="17"/>
        <v>1</v>
      </c>
      <c r="E148" s="17">
        <f t="array" ref="E148">SQRT(MMULT(A148:C148,MMULT($C$4:$E$6,TRANSPOSE(A148:C148))))</f>
        <v>0.21184852792033612</v>
      </c>
      <c r="F148" s="32">
        <f t="array" ref="F148">MMULT(A148:C148,$B$4:$B$6)</f>
        <v>0.12424623720021519</v>
      </c>
      <c r="G148" s="33">
        <f t="shared" si="18"/>
        <v>0.15037762840730631</v>
      </c>
      <c r="H148" s="16" t="s">
        <v>31</v>
      </c>
    </row>
    <row r="149" spans="1:8" x14ac:dyDescent="0.25">
      <c r="A149" s="17">
        <v>0.66626197508981855</v>
      </c>
      <c r="B149" s="17">
        <v>0.82931737052114496</v>
      </c>
      <c r="C149" s="17">
        <v>-0.49557934561096351</v>
      </c>
      <c r="D149" s="20">
        <f t="shared" si="17"/>
        <v>1</v>
      </c>
      <c r="E149" s="17">
        <f t="array" ref="E149">SQRT(MMULT(A149:C149,MMULT($C$4:$E$6,TRANSPOSE(A149:C149))))</f>
        <v>0.15138449338933418</v>
      </c>
      <c r="F149" s="32">
        <f t="array" ref="F149">MMULT(A149:C149,$B$4:$B$6)</f>
        <v>0.12476682653324273</v>
      </c>
      <c r="G149" s="33">
        <f t="shared" si="18"/>
        <v>0.15138416437451913</v>
      </c>
      <c r="H149" s="16" t="s">
        <v>31</v>
      </c>
    </row>
    <row r="150" spans="1:8" x14ac:dyDescent="0.25">
      <c r="A150" s="17">
        <v>0.80208236188368254</v>
      </c>
      <c r="B150" s="17">
        <v>0.6583823840619526</v>
      </c>
      <c r="C150" s="17">
        <v>-0.46046474594563513</v>
      </c>
      <c r="D150" s="20">
        <f t="shared" si="17"/>
        <v>0.99999999999999989</v>
      </c>
      <c r="E150" s="17">
        <f t="array" ref="E150">SQRT(MMULT(A150:C150,MMULT($C$4:$E$6,TRANSPOSE(A150:C150))))</f>
        <v>0.16827615226393028</v>
      </c>
      <c r="F150" s="32">
        <f t="array" ref="F150">MMULT(A150:C150,$B$4:$B$6)</f>
        <v>0.12708570815379225</v>
      </c>
      <c r="G150" s="33">
        <f t="shared" si="18"/>
        <v>0.15589454403124484</v>
      </c>
      <c r="H150" s="16" t="s">
        <v>31</v>
      </c>
    </row>
    <row r="151" spans="1:8" x14ac:dyDescent="0.25">
      <c r="A151" s="17">
        <v>0.91876896834070287</v>
      </c>
      <c r="B151" s="17">
        <v>0.48239125408173678</v>
      </c>
      <c r="C151" s="17">
        <v>-0.40116022242243965</v>
      </c>
      <c r="D151" s="20">
        <f t="shared" si="17"/>
        <v>0.99999999999999989</v>
      </c>
      <c r="E151" s="17">
        <f t="array" ref="E151">SQRT(MMULT(A151:C151,MMULT($C$4:$E$6,TRANSPOSE(A151:C151))))</f>
        <v>0.20066279608660526</v>
      </c>
      <c r="F151" s="32">
        <f t="array" ref="F151">MMULT(A151:C151,$B$4:$B$6)</f>
        <v>0.12762108017134308</v>
      </c>
      <c r="G151" s="33">
        <f t="shared" si="18"/>
        <v>0.15694186607197494</v>
      </c>
      <c r="H151" s="16" t="s">
        <v>31</v>
      </c>
    </row>
    <row r="152" spans="1:8" x14ac:dyDescent="0.25">
      <c r="A152" s="17">
        <v>0.85905321210405339</v>
      </c>
      <c r="B152" s="17">
        <v>0.57855755700462796</v>
      </c>
      <c r="C152" s="17">
        <v>-0.43761076910868135</v>
      </c>
      <c r="D152" s="20">
        <f t="shared" si="17"/>
        <v>1</v>
      </c>
      <c r="E152" s="17">
        <f t="array" ref="E152">SQRT(MMULT(A152:C152,MMULT($C$4:$E$6,TRANSPOSE(A152:C152))))</f>
        <v>0.18197648754090534</v>
      </c>
      <c r="F152" s="32">
        <f t="array" ref="F152">MMULT(A152:C152,$B$4:$B$6)</f>
        <v>0.12765213481855567</v>
      </c>
      <c r="G152" s="33">
        <f t="shared" si="18"/>
        <v>0.1570026832100169</v>
      </c>
      <c r="H152" s="16" t="s">
        <v>31</v>
      </c>
    </row>
    <row r="153" spans="1:8" x14ac:dyDescent="0.25">
      <c r="A153" s="17">
        <v>0.96961595487268593</v>
      </c>
      <c r="B153" s="17">
        <v>0.43229549032829817</v>
      </c>
      <c r="C153" s="17">
        <v>-0.4019114452009841</v>
      </c>
      <c r="D153" s="20">
        <f t="shared" si="17"/>
        <v>1</v>
      </c>
      <c r="E153" s="17">
        <f t="array" ref="E153">SQRT(MMULT(A153:C153,MMULT($C$4:$E$6,TRANSPOSE(A153:C153))))</f>
        <v>0.2163023572648298</v>
      </c>
      <c r="F153" s="32">
        <f t="array" ref="F153">MMULT(A153:C153,$B$4:$B$6)</f>
        <v>0.12918405090622978</v>
      </c>
      <c r="G153" s="33">
        <f t="shared" si="18"/>
        <v>0.16001158671653187</v>
      </c>
      <c r="H153" s="16" t="s">
        <v>31</v>
      </c>
    </row>
    <row r="154" spans="1:8" x14ac:dyDescent="0.25">
      <c r="A154" s="17">
        <v>0.68289578223745617</v>
      </c>
      <c r="B154" s="17">
        <v>0.93047711587786841</v>
      </c>
      <c r="C154" s="17">
        <v>-0.61337289811532458</v>
      </c>
      <c r="D154" s="20">
        <f t="shared" si="17"/>
        <v>1</v>
      </c>
      <c r="E154" s="17">
        <f t="array" ref="E154">SQRT(MMULT(A154:C154,MMULT($C$4:$E$6,TRANSPOSE(A154:C154))))</f>
        <v>0.16534978837966288</v>
      </c>
      <c r="F154" s="32">
        <f t="array" ref="F154">MMULT(A154:C154,$B$4:$B$6)</f>
        <v>0.13115551837288991</v>
      </c>
      <c r="G154" s="33">
        <f t="shared" si="18"/>
        <v>0.16390817599100407</v>
      </c>
      <c r="H154" s="16" t="s">
        <v>31</v>
      </c>
    </row>
    <row r="155" spans="1:8" x14ac:dyDescent="0.25">
      <c r="A155" s="17">
        <v>0.8680351983791843</v>
      </c>
      <c r="B155" s="17">
        <v>0.73573099056511115</v>
      </c>
      <c r="C155" s="17">
        <v>-0.60376618894429546</v>
      </c>
      <c r="D155" s="20">
        <f t="shared" si="17"/>
        <v>1</v>
      </c>
      <c r="E155" s="17">
        <f t="array" ref="E155">SQRT(MMULT(A155:C155,MMULT($C$4:$E$6,TRANSPOSE(A155:C155))))</f>
        <v>0.18278576909350219</v>
      </c>
      <c r="F155" s="32">
        <f t="array" ref="F155">MMULT(A155:C155,$B$4:$B$6)</f>
        <v>0.13622936539859029</v>
      </c>
      <c r="G155" s="33">
        <f t="shared" si="18"/>
        <v>0.17405027564745706</v>
      </c>
      <c r="H155" s="16" t="s">
        <v>31</v>
      </c>
    </row>
    <row r="156" spans="1:8" x14ac:dyDescent="0.25">
      <c r="A156" s="17">
        <v>0.75087951527944596</v>
      </c>
      <c r="B156" s="17">
        <v>0.93891588386979041</v>
      </c>
      <c r="C156" s="17">
        <v>-0.68979539914923638</v>
      </c>
      <c r="D156" s="20">
        <f t="shared" si="17"/>
        <v>1</v>
      </c>
      <c r="E156" s="17">
        <f t="array" ref="E156">SQRT(MMULT(A156:C156,MMULT($C$4:$E$6,TRANSPOSE(A156:C156))))</f>
        <v>0.17607712569742492</v>
      </c>
      <c r="F156" s="32">
        <f t="array" ref="F156">MMULT(A156:C156,$B$4:$B$6)</f>
        <v>0.13701615541584522</v>
      </c>
      <c r="G156" s="33">
        <f t="shared" si="18"/>
        <v>0.17563634654727034</v>
      </c>
      <c r="H156" s="16" t="s">
        <v>31</v>
      </c>
    </row>
    <row r="157" spans="1:8" x14ac:dyDescent="0.25">
      <c r="A157" s="17">
        <v>0.95156683114383012</v>
      </c>
      <c r="B157" s="17">
        <v>0.64070879084984644</v>
      </c>
      <c r="C157" s="17">
        <v>-0.59227562199367656</v>
      </c>
      <c r="D157" s="20">
        <f t="shared" si="17"/>
        <v>0.99999999999999989</v>
      </c>
      <c r="E157" s="17">
        <f t="array" ref="E157">SQRT(MMULT(A157:C157,MMULT($C$4:$E$6,TRANSPOSE(A157:C157))))</f>
        <v>0.20058587206544626</v>
      </c>
      <c r="F157" s="32">
        <f t="array" ref="F157">MMULT(A157:C157,$B$4:$B$6)</f>
        <v>0.13816078603399873</v>
      </c>
      <c r="G157" s="33">
        <f t="shared" si="18"/>
        <v>0.1779496774108259</v>
      </c>
      <c r="H157" s="16" t="s">
        <v>31</v>
      </c>
    </row>
    <row r="158" spans="1:8" x14ac:dyDescent="0.25">
      <c r="A158" s="17">
        <v>0.85374216261320224</v>
      </c>
      <c r="B158" s="17">
        <v>0.80718337658969408</v>
      </c>
      <c r="C158" s="17">
        <v>-0.66092553920289632</v>
      </c>
      <c r="D158" s="20">
        <f t="shared" si="17"/>
        <v>1</v>
      </c>
      <c r="E158" s="17">
        <f t="array" ref="E158">SQRT(MMULT(A158:C158,MMULT($C$4:$E$6,TRANSPOSE(A158:C158))))</f>
        <v>0.18260511821089165</v>
      </c>
      <c r="F158" s="32">
        <f t="array" ref="F158">MMULT(A158:C158,$B$4:$B$6)</f>
        <v>0.13865854183854087</v>
      </c>
      <c r="G158" s="33">
        <f t="shared" si="18"/>
        <v>0.17895777706783017</v>
      </c>
      <c r="H158" s="16" t="s">
        <v>31</v>
      </c>
    </row>
    <row r="159" spans="1:8" x14ac:dyDescent="0.25">
      <c r="A159" s="17">
        <v>0.98672590202398269</v>
      </c>
      <c r="B159" s="17">
        <v>0.59996353415370163</v>
      </c>
      <c r="C159" s="17">
        <v>-0.58668943617768432</v>
      </c>
      <c r="D159" s="20">
        <f t="shared" si="17"/>
        <v>1</v>
      </c>
      <c r="E159" s="17">
        <f t="array" ref="E159">SQRT(MMULT(A159:C159,MMULT($C$4:$E$6,TRANSPOSE(A159:C159))))</f>
        <v>0.20961112298611953</v>
      </c>
      <c r="F159" s="32">
        <f t="array" ref="F159">MMULT(A159:C159,$B$4:$B$6)</f>
        <v>0.13893624886960371</v>
      </c>
      <c r="G159" s="33">
        <f t="shared" si="18"/>
        <v>0.1795207608824185</v>
      </c>
      <c r="H159" s="16" t="s">
        <v>31</v>
      </c>
    </row>
    <row r="160" spans="1:8" x14ac:dyDescent="0.25">
      <c r="A160" s="17">
        <v>0.97927608677822908</v>
      </c>
      <c r="B160" s="17">
        <v>0.61434690746506238</v>
      </c>
      <c r="C160" s="17">
        <v>-0.59362299424329146</v>
      </c>
      <c r="D160" s="20">
        <f t="shared" si="17"/>
        <v>1</v>
      </c>
      <c r="E160" s="17">
        <f t="array" ref="E160">SQRT(MMULT(A160:C160,MMULT($C$4:$E$6,TRANSPOSE(A160:C160))))</f>
        <v>0.20744402611644774</v>
      </c>
      <c r="F160" s="32">
        <f t="array" ref="F160">MMULT(A160:C160,$B$4:$B$6)</f>
        <v>0.13905943231551143</v>
      </c>
      <c r="G160" s="33">
        <f t="shared" si="18"/>
        <v>0.17977060959954008</v>
      </c>
      <c r="H160" s="16" t="s">
        <v>31</v>
      </c>
    </row>
    <row r="161" spans="1:8" x14ac:dyDescent="0.25">
      <c r="A161" s="17">
        <v>0.82865740471545724</v>
      </c>
      <c r="B161" s="17">
        <v>0.95594490051421466</v>
      </c>
      <c r="C161" s="17">
        <v>-0.78460230522967189</v>
      </c>
      <c r="D161" s="20">
        <f t="shared" si="17"/>
        <v>0.99999999999999989</v>
      </c>
      <c r="E161" s="17">
        <f t="array" ref="E161">SQRT(MMULT(A161:C161,MMULT($C$4:$E$6,TRANSPOSE(A161:C161))))</f>
        <v>0.19006789449412118</v>
      </c>
      <c r="F161" s="32">
        <f t="array" ref="F161">MMULT(A161:C161,$B$4:$B$6)</f>
        <v>0.14408983740294731</v>
      </c>
      <c r="G161" s="33">
        <f t="shared" si="18"/>
        <v>0.19003495953749439</v>
      </c>
      <c r="H161" s="16" t="s">
        <v>31</v>
      </c>
    </row>
  </sheetData>
  <sortState ref="A37:G161">
    <sortCondition ref="F37:F161"/>
    <sortCondition ref="G37:G161"/>
  </sortState>
  <mergeCells count="1">
    <mergeCell ref="C3:E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CD37-881E-480D-B843-00C37B117D74}">
  <dimension ref="A1:M32"/>
  <sheetViews>
    <sheetView workbookViewId="0">
      <selection activeCell="L13" sqref="L13"/>
    </sheetView>
  </sheetViews>
  <sheetFormatPr defaultColWidth="8.85546875" defaultRowHeight="15" x14ac:dyDescent="0.25"/>
  <cols>
    <col min="1" max="1" width="11.42578125" customWidth="1"/>
    <col min="2" max="2" width="9.140625" customWidth="1"/>
    <col min="3" max="3" width="8.5703125" customWidth="1"/>
  </cols>
  <sheetData>
    <row r="1" spans="1:13" ht="18.75" x14ac:dyDescent="0.3">
      <c r="A1" s="61" t="s">
        <v>57</v>
      </c>
    </row>
    <row r="2" spans="1:13" x14ac:dyDescent="0.25">
      <c r="B2" s="62" t="s">
        <v>2</v>
      </c>
      <c r="C2" s="62"/>
      <c r="D2" s="62" t="s">
        <v>3</v>
      </c>
      <c r="E2" s="62"/>
      <c r="F2" s="15"/>
      <c r="G2" s="15" t="s">
        <v>5</v>
      </c>
      <c r="H2" s="15"/>
      <c r="I2" s="30" t="s">
        <v>4</v>
      </c>
      <c r="J2" s="15" t="s">
        <v>6</v>
      </c>
      <c r="K2" s="15" t="s">
        <v>61</v>
      </c>
    </row>
    <row r="3" spans="1:13" x14ac:dyDescent="0.25">
      <c r="A3" t="s">
        <v>58</v>
      </c>
      <c r="B3" s="23">
        <v>0.25</v>
      </c>
      <c r="C3" s="44">
        <v>0.7</v>
      </c>
      <c r="D3" s="44">
        <v>0.1</v>
      </c>
      <c r="E3" s="44">
        <v>-0.06</v>
      </c>
      <c r="F3" s="24">
        <f t="array" ref="F3:H5">MINVERSE(C3:E5)</f>
        <v>1.5151515151515151</v>
      </c>
      <c r="G3" s="24">
        <v>-0.15151515151515157</v>
      </c>
      <c r="H3" s="24">
        <v>0.75757575757575757</v>
      </c>
      <c r="I3" s="23">
        <v>1</v>
      </c>
      <c r="J3" s="47">
        <f>SUM(F3:H3)</f>
        <v>2.1212121212121211</v>
      </c>
      <c r="K3" s="28">
        <f t="array" ref="K3:K5">MMULT(F3:H5,B3:B5)</f>
        <v>0.40303030303030302</v>
      </c>
      <c r="L3" s="20" t="s">
        <v>10</v>
      </c>
      <c r="M3" s="28">
        <f>SUM(J3:J5)</f>
        <v>22.969696969696972</v>
      </c>
    </row>
    <row r="4" spans="1:13" x14ac:dyDescent="0.25">
      <c r="A4" t="s">
        <v>59</v>
      </c>
      <c r="B4" s="23">
        <v>0.09</v>
      </c>
      <c r="C4" s="44">
        <v>0.1</v>
      </c>
      <c r="D4" s="44">
        <v>0.5</v>
      </c>
      <c r="E4" s="44">
        <v>-0.1</v>
      </c>
      <c r="F4" s="24">
        <v>-0.15151515151515155</v>
      </c>
      <c r="G4" s="24">
        <v>2.5151515151515151</v>
      </c>
      <c r="H4" s="24">
        <v>2.4242424242424243</v>
      </c>
      <c r="I4" s="23">
        <v>1</v>
      </c>
      <c r="J4" s="47">
        <f t="shared" ref="J4:J5" si="0">SUM(F4:H4)</f>
        <v>4.7878787878787881</v>
      </c>
      <c r="K4" s="28">
        <v>0.30969696969696969</v>
      </c>
      <c r="L4" s="20" t="s">
        <v>12</v>
      </c>
      <c r="M4" s="28">
        <f>SUM(K3:K5)</f>
        <v>1.7642424242424242</v>
      </c>
    </row>
    <row r="5" spans="1:13" x14ac:dyDescent="0.25">
      <c r="A5" t="s">
        <v>60</v>
      </c>
      <c r="B5" s="23">
        <v>0.05</v>
      </c>
      <c r="C5" s="44">
        <v>-0.06</v>
      </c>
      <c r="D5" s="44">
        <v>-0.1</v>
      </c>
      <c r="E5" s="44">
        <v>0.1</v>
      </c>
      <c r="F5" s="24">
        <v>0.75757575757575757</v>
      </c>
      <c r="G5" s="24">
        <v>2.4242424242424239</v>
      </c>
      <c r="H5" s="24">
        <v>12.878787878787879</v>
      </c>
      <c r="I5" s="23">
        <v>1</v>
      </c>
      <c r="J5" s="47">
        <f t="shared" si="0"/>
        <v>16.060606060606062</v>
      </c>
      <c r="K5" s="28">
        <v>1.0515151515151515</v>
      </c>
      <c r="L5" s="20" t="s">
        <v>14</v>
      </c>
      <c r="M5">
        <f t="array" ref="M5">MMULT(TRANSPOSE(B3:B5),K3:K5)</f>
        <v>0.18120606060606062</v>
      </c>
    </row>
    <row r="6" spans="1:13" x14ac:dyDescent="0.25">
      <c r="L6" s="20" t="s">
        <v>16</v>
      </c>
      <c r="M6">
        <f>M5*M3-M4^2</f>
        <v>1.0496969696969711</v>
      </c>
    </row>
    <row r="10" spans="1:13" x14ac:dyDescent="0.25">
      <c r="B10" s="19" t="s">
        <v>43</v>
      </c>
    </row>
    <row r="11" spans="1:13" x14ac:dyDescent="0.25">
      <c r="A11" s="15" t="s">
        <v>22</v>
      </c>
      <c r="B11" s="15">
        <v>0</v>
      </c>
      <c r="C11" s="15">
        <v>1</v>
      </c>
      <c r="D11" s="15"/>
      <c r="E11" s="15">
        <v>0.05</v>
      </c>
      <c r="F11" s="30">
        <v>0.05</v>
      </c>
      <c r="G11" s="30"/>
      <c r="I11">
        <v>0.15</v>
      </c>
    </row>
    <row r="12" spans="1:13" x14ac:dyDescent="0.25">
      <c r="A12" s="15" t="s">
        <v>8</v>
      </c>
      <c r="B12" s="48">
        <f>($M$3*B11-$M$4)/$M$6</f>
        <v>-1.6807159353348706</v>
      </c>
      <c r="C12" s="48">
        <f>($M$3*C11-$M$4)/$M$6</f>
        <v>20.201501154734384</v>
      </c>
      <c r="D12" s="15"/>
      <c r="E12" s="15"/>
      <c r="F12" s="48">
        <f>($M$3*F11-$M$4)/$M$6</f>
        <v>-0.58660508083140772</v>
      </c>
      <c r="G12" s="29"/>
      <c r="I12">
        <f>($M$3*I11-$M$4)/$M$6</f>
        <v>1.6016166281755178</v>
      </c>
    </row>
    <row r="13" spans="1:13" x14ac:dyDescent="0.25">
      <c r="A13" s="15" t="s">
        <v>9</v>
      </c>
      <c r="B13" s="48">
        <f>(-$M$4*B11+$M$5)/$M$6</f>
        <v>0.17262702078521919</v>
      </c>
      <c r="C13" s="48">
        <f>(-$M$4*C11+$M$5)/$M$6</f>
        <v>-1.5080889145496514</v>
      </c>
      <c r="D13" s="15"/>
      <c r="E13" s="15"/>
      <c r="F13" s="48">
        <f>(-$M$4*F11+$M$5)/$M$6</f>
        <v>8.8591224018475648E-2</v>
      </c>
      <c r="G13" s="29"/>
      <c r="I13">
        <f>(-M4*I11+$M$5)/$M$6</f>
        <v>-7.9480369515011404E-2</v>
      </c>
    </row>
    <row r="14" spans="1:13" x14ac:dyDescent="0.25">
      <c r="A14" s="15"/>
      <c r="B14" s="30" t="s">
        <v>24</v>
      </c>
      <c r="C14" s="30" t="s">
        <v>25</v>
      </c>
      <c r="D14" s="30" t="s">
        <v>54</v>
      </c>
      <c r="E14" s="30" t="s">
        <v>62</v>
      </c>
      <c r="F14" s="30" t="s">
        <v>62</v>
      </c>
      <c r="G14" s="42" t="s">
        <v>26</v>
      </c>
      <c r="H14" s="20" t="s">
        <v>27</v>
      </c>
      <c r="I14" s="30" t="s">
        <v>66</v>
      </c>
      <c r="J14" s="30"/>
    </row>
    <row r="15" spans="1:13" x14ac:dyDescent="0.25">
      <c r="A15" s="15" t="s">
        <v>17</v>
      </c>
      <c r="B15" s="52">
        <f t="array" ref="B15:B17">B12*$K$3:$K$5+B13*$J$3:$J$5</f>
        <v>-0.31120092378752834</v>
      </c>
      <c r="C15" s="51">
        <f t="array" ref="C15:C17">C12*$K$3:$K$5+C13*$J$3:$J$5</f>
        <v>4.9428406466512627</v>
      </c>
      <c r="D15" s="53">
        <f>C15-B15</f>
        <v>5.2540415704387913</v>
      </c>
      <c r="E15" s="53">
        <f t="array" ref="E15:E17">D15:D17*E11+B15:B17</f>
        <v>-4.8498845265588786E-2</v>
      </c>
      <c r="F15" s="48">
        <f t="array" ref="F15:F17">F12*K3:K5+F13*J3:J5</f>
        <v>-4.8498845265588703E-2</v>
      </c>
      <c r="G15" s="45">
        <f>J3/$M$3</f>
        <v>9.2348284960422147E-2</v>
      </c>
      <c r="H15">
        <f>K3/$M$4</f>
        <v>0.22844383373411198</v>
      </c>
      <c r="I15">
        <f t="array" ref="I15:I17">I12*K$3:K$5+I13*$J$3:$J$5</f>
        <v>0.47690531177829054</v>
      </c>
    </row>
    <row r="16" spans="1:13" x14ac:dyDescent="0.25">
      <c r="A16" s="15" t="s">
        <v>18</v>
      </c>
      <c r="B16" s="52">
        <v>0.30600461893764408</v>
      </c>
      <c r="C16" s="51">
        <v>-0.96420323325634971</v>
      </c>
      <c r="D16" s="53">
        <f t="shared" ref="D16:D17" si="1">C16-B16</f>
        <v>-1.2702078521939937</v>
      </c>
      <c r="E16" s="53">
        <v>0.24249422632794437</v>
      </c>
      <c r="F16" s="48">
        <v>0.24249422632794443</v>
      </c>
      <c r="G16" s="45">
        <f>J4/$M$3</f>
        <v>0.20844327176781002</v>
      </c>
      <c r="H16">
        <f>K4/$M$4</f>
        <v>0.17554105118515975</v>
      </c>
      <c r="I16">
        <v>0.11547344110854507</v>
      </c>
    </row>
    <row r="17" spans="1:10" x14ac:dyDescent="0.25">
      <c r="A17" s="15" t="s">
        <v>19</v>
      </c>
      <c r="B17" s="52">
        <v>1.005196304849884</v>
      </c>
      <c r="C17" s="51">
        <v>-2.9786374133949174</v>
      </c>
      <c r="D17" s="53">
        <f t="shared" si="1"/>
        <v>-3.9838337182448011</v>
      </c>
      <c r="E17" s="53">
        <v>0.80600461893764397</v>
      </c>
      <c r="F17" s="48">
        <v>0.80600461893764386</v>
      </c>
      <c r="G17" s="45">
        <f>J5/$M$3</f>
        <v>0.69920844327176779</v>
      </c>
      <c r="H17">
        <f>K5/$M$4</f>
        <v>0.59601511508072824</v>
      </c>
      <c r="I17">
        <v>0.40762124711316416</v>
      </c>
    </row>
    <row r="18" spans="1:10" x14ac:dyDescent="0.25">
      <c r="A18" s="15"/>
      <c r="B18" s="46">
        <f>SUM(B15:B17)</f>
        <v>0.99999999999999978</v>
      </c>
      <c r="C18" s="46">
        <f>SUM(C15:C17)</f>
        <v>0.99999999999999556</v>
      </c>
      <c r="D18" s="46">
        <f>SUM(D15:D17)</f>
        <v>-3.5527136788005009E-15</v>
      </c>
      <c r="E18" s="46"/>
      <c r="F18" s="46">
        <f>SUM(F15:F17)</f>
        <v>0.99999999999999956</v>
      </c>
      <c r="G18" s="46">
        <f>SUM(G15:G17)</f>
        <v>1</v>
      </c>
      <c r="H18" s="46">
        <f>SUM(H15:H17)</f>
        <v>1</v>
      </c>
      <c r="I18" s="46">
        <f>SUM(I15:I17)</f>
        <v>0.99999999999999978</v>
      </c>
      <c r="J18" s="46"/>
    </row>
    <row r="19" spans="1:10" x14ac:dyDescent="0.25">
      <c r="A19" s="15" t="s">
        <v>22</v>
      </c>
      <c r="B19" s="50">
        <f t="array" ref="B19">MMULT(TRANSPOSE(B15:B17),$B$3:$B$5)</f>
        <v>8.3266726846886741E-17</v>
      </c>
      <c r="C19" s="50">
        <f t="array" ref="C19">MMULT(TRANSPOSE(C15:C17),$B$3:$B$5)</f>
        <v>0.99999999999999833</v>
      </c>
      <c r="D19" s="15"/>
      <c r="E19" s="15"/>
      <c r="F19" s="15">
        <f t="array" ref="F19">MMULT(TRANSPOSE(F15:F17),$B$3:$B$5)</f>
        <v>5.0000000000000017E-2</v>
      </c>
      <c r="G19" s="48">
        <f t="array" ref="G19">MMULT(TRANSPOSE(G15:G17),B3:B5)</f>
        <v>7.6807387862796839E-2</v>
      </c>
      <c r="H19">
        <f>M5/M4</f>
        <v>0.1027104087942288</v>
      </c>
    </row>
    <row r="20" spans="1:10" x14ac:dyDescent="0.25">
      <c r="A20" s="15" t="s">
        <v>23</v>
      </c>
      <c r="B20" s="15"/>
      <c r="C20" s="15"/>
      <c r="D20" s="15"/>
      <c r="E20" s="15"/>
      <c r="F20" s="49">
        <f>F12*F11+F13</f>
        <v>5.9260969976905262E-2</v>
      </c>
      <c r="G20" s="28">
        <f>1/M3</f>
        <v>4.3535620052770445E-2</v>
      </c>
      <c r="H20" s="29"/>
    </row>
    <row r="21" spans="1:10" x14ac:dyDescent="0.25">
      <c r="A21" s="15" t="s">
        <v>21</v>
      </c>
      <c r="B21" s="15"/>
      <c r="C21" s="15"/>
      <c r="D21" s="15"/>
      <c r="E21" s="15"/>
      <c r="F21" s="49">
        <f>SQRT(F20)</f>
        <v>0.24343576149963106</v>
      </c>
      <c r="G21" s="28">
        <f>SQRT(G20)</f>
        <v>0.20865191121283899</v>
      </c>
    </row>
    <row r="22" spans="1:10" x14ac:dyDescent="0.25">
      <c r="B22" s="29"/>
    </row>
    <row r="23" spans="1:10" x14ac:dyDescent="0.25">
      <c r="B23" s="17"/>
    </row>
    <row r="24" spans="1:10" x14ac:dyDescent="0.25">
      <c r="A24" s="15" t="s">
        <v>63</v>
      </c>
    </row>
    <row r="25" spans="1:10" x14ac:dyDescent="0.25">
      <c r="E25">
        <v>0.05</v>
      </c>
      <c r="I25">
        <v>0.15</v>
      </c>
    </row>
    <row r="26" spans="1:10" x14ac:dyDescent="0.25">
      <c r="E26" s="30" t="s">
        <v>62</v>
      </c>
      <c r="I26" s="30" t="s">
        <v>66</v>
      </c>
      <c r="J26" s="30"/>
    </row>
    <row r="27" spans="1:10" x14ac:dyDescent="0.25">
      <c r="D27" t="s">
        <v>64</v>
      </c>
      <c r="E27" s="17">
        <f>(E25-$G$19)/($H$19-$G$19)</f>
        <v>-1.0349135698789278</v>
      </c>
      <c r="H27" t="s">
        <v>64</v>
      </c>
      <c r="I27" s="17">
        <f>(I25-$G$19)/($H$19-$G$19)</f>
        <v>2.8256400027993553</v>
      </c>
      <c r="J27" s="17"/>
    </row>
    <row r="28" spans="1:10" x14ac:dyDescent="0.25">
      <c r="D28" t="s">
        <v>65</v>
      </c>
      <c r="E28" s="17">
        <f>1-E27</f>
        <v>2.0349135698789276</v>
      </c>
      <c r="H28" t="s">
        <v>65</v>
      </c>
      <c r="I28" s="17">
        <f>1-I27</f>
        <v>-1.8256400027993553</v>
      </c>
      <c r="J28" s="17"/>
    </row>
    <row r="29" spans="1:10" x14ac:dyDescent="0.25">
      <c r="E29">
        <f>SUM(E27:E28)</f>
        <v>0.99999999999999978</v>
      </c>
      <c r="I29">
        <f>SUM(I27:I28)</f>
        <v>1</v>
      </c>
    </row>
    <row r="30" spans="1:10" x14ac:dyDescent="0.25">
      <c r="E30" s="17"/>
      <c r="H30" t="s">
        <v>17</v>
      </c>
      <c r="I30">
        <f t="array" ref="I30:I32">I27*H15:H17+I28*G15:G17</f>
        <v>0.47690531177829087</v>
      </c>
    </row>
    <row r="31" spans="1:10" x14ac:dyDescent="0.25">
      <c r="E31" s="17"/>
      <c r="H31" t="s">
        <v>18</v>
      </c>
      <c r="I31">
        <v>0.11547344110854507</v>
      </c>
    </row>
    <row r="32" spans="1:10" x14ac:dyDescent="0.25">
      <c r="E32" s="17"/>
      <c r="H32" t="s">
        <v>19</v>
      </c>
      <c r="I32">
        <v>0.40762124711316394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F8EB-EF47-4A04-AECF-12CA971BB643}">
  <dimension ref="A1:L13"/>
  <sheetViews>
    <sheetView workbookViewId="0">
      <selection activeCell="I13" sqref="I13"/>
    </sheetView>
  </sheetViews>
  <sheetFormatPr defaultColWidth="8.85546875" defaultRowHeight="15" x14ac:dyDescent="0.25"/>
  <cols>
    <col min="8" max="8" width="10.7109375" customWidth="1"/>
    <col min="9" max="9" width="13.42578125" customWidth="1"/>
  </cols>
  <sheetData>
    <row r="1" spans="1:12" ht="18.75" x14ac:dyDescent="0.3">
      <c r="A1" s="58" t="s">
        <v>67</v>
      </c>
    </row>
    <row r="3" spans="1:12" x14ac:dyDescent="0.25">
      <c r="A3" s="15" t="s">
        <v>1</v>
      </c>
      <c r="B3" s="30" t="s">
        <v>2</v>
      </c>
      <c r="C3" s="30" t="s">
        <v>3</v>
      </c>
      <c r="D3" s="15"/>
      <c r="E3" s="59" t="s">
        <v>72</v>
      </c>
      <c r="G3" s="15" t="s">
        <v>4</v>
      </c>
      <c r="H3" s="15" t="s">
        <v>71</v>
      </c>
      <c r="I3" s="15" t="s">
        <v>74</v>
      </c>
      <c r="L3" s="30" t="s">
        <v>75</v>
      </c>
    </row>
    <row r="4" spans="1:12" x14ac:dyDescent="0.25">
      <c r="A4" s="15" t="s">
        <v>68</v>
      </c>
      <c r="B4" s="56">
        <v>0.1</v>
      </c>
      <c r="C4" s="24">
        <v>0.05</v>
      </c>
      <c r="D4" s="24">
        <v>1.4999999999999999E-2</v>
      </c>
      <c r="E4" s="24">
        <f t="array" ref="E4:F5">MINVERSE(C4:D5)</f>
        <v>25.806451612903224</v>
      </c>
      <c r="F4" s="24">
        <v>-19.354838709677416</v>
      </c>
      <c r="G4" s="20">
        <v>1</v>
      </c>
      <c r="H4" s="23">
        <f>B4-$B$6</f>
        <v>0.08</v>
      </c>
      <c r="I4" s="57">
        <f t="array" ref="I4:I5">MMULT(E4:F5,H4:H5)</f>
        <v>1.2903225806451615</v>
      </c>
      <c r="J4" s="30" t="s">
        <v>73</v>
      </c>
      <c r="K4">
        <f t="array" ref="K4">MMULT(TRANSPOSE(H4:H5),I4:I5)</f>
        <v>0.14451612903225805</v>
      </c>
      <c r="L4" s="55">
        <f>I4/$K$4</f>
        <v>8.9285714285714306</v>
      </c>
    </row>
    <row r="5" spans="1:12" x14ac:dyDescent="0.25">
      <c r="A5" s="15" t="s">
        <v>69</v>
      </c>
      <c r="B5" s="23">
        <v>0.06</v>
      </c>
      <c r="C5" s="24">
        <v>1.4999999999999999E-2</v>
      </c>
      <c r="D5" s="24">
        <v>0.02</v>
      </c>
      <c r="E5" s="24">
        <v>-19.35483870967742</v>
      </c>
      <c r="F5" s="24">
        <v>64.516129032258064</v>
      </c>
      <c r="G5" s="20">
        <v>1</v>
      </c>
      <c r="H5" s="23">
        <f>B5-$B$6</f>
        <v>3.9999999999999994E-2</v>
      </c>
      <c r="I5" s="57">
        <v>1.0322580645161283</v>
      </c>
      <c r="L5" s="55">
        <f>I5/$K$4</f>
        <v>7.1428571428571388</v>
      </c>
    </row>
    <row r="6" spans="1:12" x14ac:dyDescent="0.25">
      <c r="A6" s="15" t="s">
        <v>70</v>
      </c>
      <c r="B6">
        <v>0.02</v>
      </c>
      <c r="I6" s="17">
        <f>SUM(I4:I5)</f>
        <v>2.32258064516129</v>
      </c>
    </row>
    <row r="7" spans="1:12" x14ac:dyDescent="0.25">
      <c r="I7" s="30" t="s">
        <v>76</v>
      </c>
    </row>
    <row r="8" spans="1:12" x14ac:dyDescent="0.25">
      <c r="H8" s="15" t="s">
        <v>77</v>
      </c>
      <c r="I8" s="29">
        <f>I4/$I$6</f>
        <v>0.55555555555555569</v>
      </c>
    </row>
    <row r="9" spans="1:12" x14ac:dyDescent="0.25">
      <c r="H9" s="15" t="s">
        <v>78</v>
      </c>
      <c r="I9" s="29">
        <f>I5/$I$6</f>
        <v>0.4444444444444442</v>
      </c>
    </row>
    <row r="10" spans="1:12" x14ac:dyDescent="0.25">
      <c r="I10">
        <f>SUM(I8:I9)</f>
        <v>0.99999999999999989</v>
      </c>
    </row>
    <row r="11" spans="1:12" x14ac:dyDescent="0.25">
      <c r="H11" t="s">
        <v>94</v>
      </c>
      <c r="I11" s="28">
        <f>I8*B4+I9*B5</f>
        <v>8.2222222222222224E-2</v>
      </c>
    </row>
    <row r="12" spans="1:12" x14ac:dyDescent="0.25">
      <c r="H12" t="s">
        <v>101</v>
      </c>
      <c r="I12" s="28">
        <f>I8^2*C4+I9^2*D5+2*I8*I9*D4</f>
        <v>2.6790123456790126E-2</v>
      </c>
    </row>
    <row r="13" spans="1:12" x14ac:dyDescent="0.25">
      <c r="H13" t="s">
        <v>102</v>
      </c>
      <c r="I13" s="28">
        <f>SQRT(I12)</f>
        <v>0.16367688736284708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4DA9-CC22-4512-843A-60D290B738C3}">
  <dimension ref="A1:N254"/>
  <sheetViews>
    <sheetView topLeftCell="A5" workbookViewId="0">
      <selection activeCell="A16" sqref="A16:XFD43"/>
    </sheetView>
  </sheetViews>
  <sheetFormatPr defaultColWidth="11.42578125" defaultRowHeight="15" x14ac:dyDescent="0.25"/>
  <cols>
    <col min="1" max="1" width="13.140625" bestFit="1" customWidth="1"/>
    <col min="6" max="6" width="11" customWidth="1"/>
    <col min="7" max="7" width="8.7109375" customWidth="1"/>
    <col min="8" max="8" width="9" customWidth="1"/>
    <col min="9" max="9" width="7.7109375" customWidth="1"/>
    <col min="10" max="10" width="18.28515625" customWidth="1"/>
    <col min="11" max="11" width="13" customWidth="1"/>
    <col min="12" max="12" width="6.85546875" bestFit="1" customWidth="1"/>
  </cols>
  <sheetData>
    <row r="1" spans="1:14" ht="18.75" x14ac:dyDescent="0.3">
      <c r="A1" s="61" t="s">
        <v>103</v>
      </c>
    </row>
    <row r="2" spans="1:14" ht="18.75" x14ac:dyDescent="0.3">
      <c r="A2" s="61"/>
      <c r="B2" s="19" t="s">
        <v>84</v>
      </c>
    </row>
    <row r="3" spans="1:14" x14ac:dyDescent="0.25">
      <c r="B3" s="62" t="s">
        <v>2</v>
      </c>
      <c r="C3" s="62"/>
      <c r="D3" s="62" t="s">
        <v>3</v>
      </c>
      <c r="E3" s="62"/>
      <c r="F3" s="15"/>
      <c r="G3" s="15" t="s">
        <v>5</v>
      </c>
      <c r="H3" s="15"/>
      <c r="I3" s="30" t="s">
        <v>4</v>
      </c>
      <c r="J3" s="15" t="s">
        <v>6</v>
      </c>
      <c r="K3" s="15" t="s">
        <v>61</v>
      </c>
    </row>
    <row r="4" spans="1:14" x14ac:dyDescent="0.25">
      <c r="A4" t="s">
        <v>58</v>
      </c>
      <c r="B4" s="23">
        <v>0.25</v>
      </c>
      <c r="C4" s="44">
        <v>0.7</v>
      </c>
      <c r="D4" s="44">
        <v>0.1</v>
      </c>
      <c r="E4" s="44">
        <v>-0.06</v>
      </c>
      <c r="F4" s="63">
        <f t="array" ref="F4:H6">MINVERSE(C4:E6)</f>
        <v>1.5151515151515151</v>
      </c>
      <c r="G4" s="63">
        <v>-0.15151515151515157</v>
      </c>
      <c r="H4" s="63">
        <v>0.75757575757575757</v>
      </c>
      <c r="I4" s="23">
        <v>1</v>
      </c>
      <c r="J4" s="47">
        <f>SUM(F4:H4)</f>
        <v>2.1212121212121211</v>
      </c>
      <c r="K4" s="28">
        <f t="array" ref="K4:K6">MMULT(F4:H6,B4:B6)</f>
        <v>0.40303030303030302</v>
      </c>
      <c r="L4" s="20" t="s">
        <v>10</v>
      </c>
      <c r="M4" s="28">
        <f>SUM(J4:J6)</f>
        <v>22.969696969696972</v>
      </c>
    </row>
    <row r="5" spans="1:14" x14ac:dyDescent="0.25">
      <c r="A5" t="s">
        <v>59</v>
      </c>
      <c r="B5" s="23">
        <v>0.09</v>
      </c>
      <c r="C5" s="44">
        <v>0.1</v>
      </c>
      <c r="D5" s="44">
        <v>0.5</v>
      </c>
      <c r="E5" s="44">
        <v>-0.1</v>
      </c>
      <c r="F5" s="63">
        <v>-0.15151515151515155</v>
      </c>
      <c r="G5" s="63">
        <v>2.5151515151515151</v>
      </c>
      <c r="H5" s="63">
        <v>2.4242424242424243</v>
      </c>
      <c r="I5" s="23">
        <v>1</v>
      </c>
      <c r="J5" s="47">
        <f t="shared" ref="J5:J6" si="0">SUM(F5:H5)</f>
        <v>4.7878787878787881</v>
      </c>
      <c r="K5" s="28">
        <v>0.30969696969696969</v>
      </c>
      <c r="L5" s="20" t="s">
        <v>12</v>
      </c>
      <c r="M5" s="28">
        <f>SUM(K4:K6)</f>
        <v>1.7642424242424242</v>
      </c>
    </row>
    <row r="6" spans="1:14" x14ac:dyDescent="0.25">
      <c r="A6" t="s">
        <v>60</v>
      </c>
      <c r="B6" s="23">
        <v>0.05</v>
      </c>
      <c r="C6" s="44">
        <v>-0.06</v>
      </c>
      <c r="D6" s="44">
        <v>-0.1</v>
      </c>
      <c r="E6" s="44">
        <v>0.1</v>
      </c>
      <c r="F6" s="63">
        <v>0.75757575757575757</v>
      </c>
      <c r="G6" s="63">
        <v>2.4242424242424239</v>
      </c>
      <c r="H6" s="63">
        <v>12.878787878787879</v>
      </c>
      <c r="I6" s="23">
        <v>1</v>
      </c>
      <c r="J6" s="47">
        <f t="shared" si="0"/>
        <v>16.060606060606062</v>
      </c>
      <c r="K6" s="28">
        <v>1.0515151515151515</v>
      </c>
      <c r="L6" s="20" t="s">
        <v>14</v>
      </c>
      <c r="M6" s="28">
        <f t="array" ref="M6">MMULT(TRANSPOSE(B4:B6),K4:K6)</f>
        <v>0.18120606060606062</v>
      </c>
    </row>
    <row r="7" spans="1:14" x14ac:dyDescent="0.25">
      <c r="L7" s="20" t="s">
        <v>16</v>
      </c>
      <c r="M7" s="28">
        <f>M6*M4-M5^2</f>
        <v>1.0496969696969711</v>
      </c>
    </row>
    <row r="9" spans="1:14" ht="18.75" x14ac:dyDescent="0.3">
      <c r="A9" s="61"/>
      <c r="B9" s="19" t="s">
        <v>83</v>
      </c>
    </row>
    <row r="10" spans="1:14" x14ac:dyDescent="0.25">
      <c r="B10" s="62" t="s">
        <v>2</v>
      </c>
      <c r="C10" s="62"/>
      <c r="D10" s="62" t="s">
        <v>3</v>
      </c>
      <c r="E10" s="62"/>
      <c r="F10" s="15"/>
      <c r="G10" s="15" t="s">
        <v>5</v>
      </c>
      <c r="H10" s="15"/>
      <c r="I10" s="30" t="s">
        <v>4</v>
      </c>
      <c r="J10" s="15" t="s">
        <v>80</v>
      </c>
      <c r="K10" s="15" t="s">
        <v>81</v>
      </c>
      <c r="N10" s="30" t="s">
        <v>75</v>
      </c>
    </row>
    <row r="11" spans="1:14" x14ac:dyDescent="0.25">
      <c r="A11" t="s">
        <v>58</v>
      </c>
      <c r="B11" s="23">
        <v>0.25</v>
      </c>
      <c r="C11" s="44">
        <v>0.7</v>
      </c>
      <c r="D11" s="44">
        <v>0.1</v>
      </c>
      <c r="E11" s="44">
        <v>-0.06</v>
      </c>
      <c r="F11" s="63">
        <f t="array" ref="F11:H13">MINVERSE(C11:E13)</f>
        <v>1.5151515151515151</v>
      </c>
      <c r="G11" s="63">
        <v>-0.15151515151515157</v>
      </c>
      <c r="H11" s="63">
        <v>0.75757575757575757</v>
      </c>
      <c r="I11" s="23">
        <v>1</v>
      </c>
      <c r="J11" s="64">
        <f>B11-$B$14</f>
        <v>0.23</v>
      </c>
      <c r="K11" s="28" cm="1">
        <f t="array" ref="K11:K13">MMULT(F11:H13,J11:J13)</f>
        <v>0.3606060606060606</v>
      </c>
      <c r="L11" s="20" t="s">
        <v>73</v>
      </c>
      <c r="M11" s="33">
        <f t="array" ref="M11">MMULT(TRANSPOSE(J11:J13),K11:K13)</f>
        <v>0.11982424242424242</v>
      </c>
      <c r="N11" s="47">
        <f>K11/$M$11</f>
        <v>3.0094582975064488</v>
      </c>
    </row>
    <row r="12" spans="1:14" x14ac:dyDescent="0.25">
      <c r="A12" t="s">
        <v>59</v>
      </c>
      <c r="B12" s="23">
        <v>0.09</v>
      </c>
      <c r="C12" s="44">
        <v>0.1</v>
      </c>
      <c r="D12" s="44">
        <v>0.5</v>
      </c>
      <c r="E12" s="44">
        <v>-0.1</v>
      </c>
      <c r="F12" s="63">
        <v>-0.15151515151515155</v>
      </c>
      <c r="G12" s="63">
        <v>2.5151515151515151</v>
      </c>
      <c r="H12" s="63">
        <v>2.4242424242424243</v>
      </c>
      <c r="I12" s="23">
        <v>1</v>
      </c>
      <c r="J12" s="64">
        <f t="shared" ref="J12:J13" si="1">B12-$B$14</f>
        <v>6.9999999999999993E-2</v>
      </c>
      <c r="K12" s="28">
        <v>0.21393939393939393</v>
      </c>
      <c r="L12" s="20" t="s">
        <v>104</v>
      </c>
      <c r="M12" s="28">
        <f>1/M11</f>
        <v>8.3455566233372114</v>
      </c>
      <c r="N12" s="47">
        <f t="shared" ref="N12:N13" si="2">K12/$M$11</f>
        <v>1.785443326083658</v>
      </c>
    </row>
    <row r="13" spans="1:14" x14ac:dyDescent="0.25">
      <c r="A13" t="s">
        <v>60</v>
      </c>
      <c r="B13" s="23">
        <v>0.05</v>
      </c>
      <c r="C13" s="44">
        <v>-0.06</v>
      </c>
      <c r="D13" s="44">
        <v>-0.1</v>
      </c>
      <c r="E13" s="44">
        <v>0.1</v>
      </c>
      <c r="F13" s="63">
        <v>0.75757575757575757</v>
      </c>
      <c r="G13" s="63">
        <v>2.4242424242424239</v>
      </c>
      <c r="H13" s="63">
        <v>12.878787878787879</v>
      </c>
      <c r="I13" s="23">
        <v>1</v>
      </c>
      <c r="J13" s="64">
        <f t="shared" si="1"/>
        <v>3.0000000000000002E-2</v>
      </c>
      <c r="K13" s="28">
        <v>0.73030303030303023</v>
      </c>
      <c r="L13" s="20" t="s">
        <v>82</v>
      </c>
      <c r="M13" s="71">
        <f>SQRT(M11)</f>
        <v>0.34615638434707863</v>
      </c>
      <c r="N13" s="47">
        <f t="shared" si="2"/>
        <v>6.09478529158869</v>
      </c>
    </row>
    <row r="14" spans="1:14" x14ac:dyDescent="0.25">
      <c r="A14" s="70" t="s">
        <v>79</v>
      </c>
      <c r="B14" s="70">
        <v>0.02</v>
      </c>
      <c r="J14" s="15" t="s">
        <v>90</v>
      </c>
      <c r="K14" s="28" t="e">
        <f ca="1">SUM(_xlfn.ANCHORARRAY(K11))</f>
        <v>#NAME?</v>
      </c>
      <c r="L14" s="20"/>
      <c r="M14" s="28"/>
    </row>
    <row r="16" spans="1:14" x14ac:dyDescent="0.25">
      <c r="B16" s="15" t="s">
        <v>85</v>
      </c>
    </row>
    <row r="17" spans="1:6" x14ac:dyDescent="0.25">
      <c r="B17" s="30" t="s">
        <v>22</v>
      </c>
      <c r="C17" s="30" t="s">
        <v>22</v>
      </c>
      <c r="D17" s="30" t="s">
        <v>92</v>
      </c>
      <c r="E17" s="30" t="s">
        <v>94</v>
      </c>
      <c r="F17" s="30" t="s">
        <v>105</v>
      </c>
    </row>
    <row r="18" spans="1:6" x14ac:dyDescent="0.25">
      <c r="B18">
        <v>0</v>
      </c>
      <c r="C18">
        <v>0.02</v>
      </c>
      <c r="D18" s="70">
        <v>0.03</v>
      </c>
      <c r="E18" t="e">
        <f ca="1">E29</f>
        <v>#NAME?</v>
      </c>
      <c r="F18" s="70">
        <v>0.2</v>
      </c>
    </row>
    <row r="19" spans="1:6" x14ac:dyDescent="0.25">
      <c r="B19" s="30" t="s">
        <v>86</v>
      </c>
      <c r="C19" s="30" t="s">
        <v>86</v>
      </c>
      <c r="D19" s="30" t="s">
        <v>86</v>
      </c>
      <c r="E19" s="30" t="s">
        <v>93</v>
      </c>
      <c r="F19" s="30" t="s">
        <v>86</v>
      </c>
    </row>
    <row r="20" spans="1:6" x14ac:dyDescent="0.25">
      <c r="B20">
        <f>B18-$B$14</f>
        <v>-0.02</v>
      </c>
      <c r="C20">
        <f>C18-$B$14</f>
        <v>0</v>
      </c>
      <c r="D20" s="69">
        <f>D18-$B$14</f>
        <v>9.9999999999999985E-3</v>
      </c>
      <c r="E20" t="e">
        <f ca="1">E28</f>
        <v>#NAME?</v>
      </c>
      <c r="F20" s="69">
        <f>F18-$B$14</f>
        <v>0.18000000000000002</v>
      </c>
    </row>
    <row r="21" spans="1:6" x14ac:dyDescent="0.25">
      <c r="B21" s="30" t="s">
        <v>87</v>
      </c>
      <c r="C21" s="30" t="s">
        <v>87</v>
      </c>
      <c r="D21" s="30" t="s">
        <v>87</v>
      </c>
      <c r="E21" s="30" t="s">
        <v>91</v>
      </c>
      <c r="F21" s="30" t="s">
        <v>87</v>
      </c>
    </row>
    <row r="22" spans="1:6" x14ac:dyDescent="0.25">
      <c r="A22" s="15" t="s">
        <v>17</v>
      </c>
      <c r="B22" s="65">
        <f>$N$11*B$20</f>
        <v>-6.0189165950128978E-2</v>
      </c>
      <c r="C22" s="65">
        <f>$N$11*C$20</f>
        <v>0</v>
      </c>
      <c r="D22" s="47">
        <f>$N$11*D$20</f>
        <v>3.0094582975064482E-2</v>
      </c>
      <c r="E22" t="e">
        <f ca="1">K11/$K$14</f>
        <v>#NAME?</v>
      </c>
      <c r="F22" s="47">
        <f>$N$11*F$20</f>
        <v>0.54170249355116085</v>
      </c>
    </row>
    <row r="23" spans="1:6" x14ac:dyDescent="0.25">
      <c r="A23" s="15" t="s">
        <v>18</v>
      </c>
      <c r="B23" s="65">
        <f>$N$12*B$20</f>
        <v>-3.5708866521673162E-2</v>
      </c>
      <c r="C23" s="65">
        <f>$N$12*C$20</f>
        <v>0</v>
      </c>
      <c r="D23" s="47">
        <f>$N$12*D$20</f>
        <v>1.7854433260836577E-2</v>
      </c>
      <c r="E23" t="e">
        <f ca="1">K12/$K$14</f>
        <v>#NAME?</v>
      </c>
      <c r="F23" s="47">
        <f>$N$12*F$20</f>
        <v>0.32137979869505845</v>
      </c>
    </row>
    <row r="24" spans="1:6" x14ac:dyDescent="0.25">
      <c r="A24" s="15" t="s">
        <v>19</v>
      </c>
      <c r="B24" s="65">
        <f>$N$13*B$20</f>
        <v>-0.1218957058317738</v>
      </c>
      <c r="C24" s="65">
        <f>$N$13*C$20</f>
        <v>0</v>
      </c>
      <c r="D24" s="47">
        <f>$N$13*D$20</f>
        <v>6.0947852915886891E-2</v>
      </c>
      <c r="E24" t="e">
        <f ca="1">K13/$K$14</f>
        <v>#NAME?</v>
      </c>
      <c r="F24" s="47">
        <f>$N$13*F$20</f>
        <v>1.0970613524859643</v>
      </c>
    </row>
    <row r="25" spans="1:6" x14ac:dyDescent="0.25">
      <c r="A25" s="15" t="s">
        <v>88</v>
      </c>
      <c r="B25" s="29">
        <f>SUM(B22:B24)</f>
        <v>-0.21779373830357596</v>
      </c>
      <c r="C25" s="29">
        <f>SUM(C22:C24)</f>
        <v>0</v>
      </c>
      <c r="D25" s="43">
        <f>SUM(D22:D24)</f>
        <v>0.10889686915178795</v>
      </c>
      <c r="E25" t="e">
        <f ca="1">K14/$K$14</f>
        <v>#NAME?</v>
      </c>
      <c r="F25" s="43">
        <f>SUM(F22:F24)</f>
        <v>1.9601436447321836</v>
      </c>
    </row>
    <row r="26" spans="1:6" x14ac:dyDescent="0.25">
      <c r="A26" s="15" t="s">
        <v>89</v>
      </c>
      <c r="B26" s="29">
        <f>1-SUM(B22:B24)</f>
        <v>1.217793738303576</v>
      </c>
      <c r="C26" s="29">
        <f>1-SUM(C22:C24)</f>
        <v>1</v>
      </c>
      <c r="D26" s="29">
        <f>1-SUM(D22:D24)</f>
        <v>0.89110313084821202</v>
      </c>
      <c r="E26" s="29" t="e">
        <f ca="1">1-SUM(E22:E24)</f>
        <v>#NAME?</v>
      </c>
      <c r="F26" s="29">
        <f>1-SUM(F22:F24)</f>
        <v>-0.96014364473218361</v>
      </c>
    </row>
    <row r="27" spans="1:6" x14ac:dyDescent="0.25">
      <c r="A27" s="15"/>
      <c r="B27">
        <f>SUM(B25:B26)</f>
        <v>1</v>
      </c>
      <c r="C27">
        <f>SUM(C25:C26)</f>
        <v>1</v>
      </c>
      <c r="D27">
        <f>SUM(D25:D26)</f>
        <v>1</v>
      </c>
      <c r="E27" t="e">
        <f ca="1">SUM(E25:E26)</f>
        <v>#NAME?</v>
      </c>
      <c r="F27">
        <f>SUM(F25:F26)</f>
        <v>1</v>
      </c>
    </row>
    <row r="28" spans="1:6" x14ac:dyDescent="0.25">
      <c r="A28" s="15" t="s">
        <v>95</v>
      </c>
      <c r="B28">
        <f t="array" ref="B28">MMULT(TRANSPOSE(B22:B24),$J$11:$J$13)</f>
        <v>-0.02</v>
      </c>
      <c r="C28">
        <f t="array" ref="C28">MMULT(TRANSPOSE(C22:C24),$J$11:$J$13)</f>
        <v>0</v>
      </c>
      <c r="D28">
        <f t="array" ref="D28">MMULT(TRANSPOSE(D22:D24),$J$11:$J$13)</f>
        <v>9.9999999999999985E-3</v>
      </c>
      <c r="E28" t="e">
        <f t="array" aca="1" ref="E28" ca="1">MMULT(TRANSPOSE(E22:E24),$J$11:$J$13)</f>
        <v>#NAME?</v>
      </c>
      <c r="F28">
        <f t="array" ref="F28">MMULT(TRANSPOSE(F22:F24),$J$11:$J$13)</f>
        <v>0.18000000000000002</v>
      </c>
    </row>
    <row r="29" spans="1:6" x14ac:dyDescent="0.25">
      <c r="A29" s="15" t="s">
        <v>22</v>
      </c>
      <c r="B29">
        <f>B28+$B$14</f>
        <v>0</v>
      </c>
      <c r="C29">
        <f t="shared" ref="C29:E29" si="3">C28+$B$14</f>
        <v>0.02</v>
      </c>
      <c r="D29">
        <f t="shared" si="3"/>
        <v>0.03</v>
      </c>
      <c r="E29" t="e">
        <f t="shared" ca="1" si="3"/>
        <v>#NAME?</v>
      </c>
      <c r="F29">
        <f t="shared" ref="F29" si="4">F28+$B$14</f>
        <v>0.2</v>
      </c>
    </row>
    <row r="30" spans="1:6" x14ac:dyDescent="0.25">
      <c r="A30" s="15" t="s">
        <v>23</v>
      </c>
      <c r="B30" s="66">
        <f t="array" ref="B30">MMULT(TRANSPOSE(B22:B24), MMULT($C$11:$E$13,B22:B24))</f>
        <v>3.3382226493348845E-3</v>
      </c>
      <c r="C30" s="66">
        <f t="array" ref="C30">MMULT(TRANSPOSE(C22:C24), MMULT($C$11:$E$13,C22:C24))</f>
        <v>0</v>
      </c>
      <c r="D30" s="66">
        <f t="array" ref="D30">MMULT(TRANSPOSE(D22:D24), MMULT($C$11:$E$13,D22:D24))</f>
        <v>8.345556623337207E-4</v>
      </c>
      <c r="E30" s="66" t="e">
        <f t="array" aca="1" ref="E30" ca="1">MMULT(TRANSPOSE(E22:E24), MMULT($C$11:$E$13,E22:E24))</f>
        <v>#NAME?</v>
      </c>
      <c r="F30" s="66">
        <f t="array" ref="F30">MMULT(TRANSPOSE(F22:F24), MMULT($C$11:$E$13,F22:F24))</f>
        <v>0.27039603459612571</v>
      </c>
    </row>
    <row r="31" spans="1:6" x14ac:dyDescent="0.25">
      <c r="A31" s="15" t="s">
        <v>21</v>
      </c>
      <c r="B31" s="66">
        <f>SQRT(B30)</f>
        <v>5.7777354121964469E-2</v>
      </c>
      <c r="C31" s="66">
        <f t="shared" ref="C31:E31" si="5">SQRT(C30)</f>
        <v>0</v>
      </c>
      <c r="D31" s="66">
        <f t="shared" si="5"/>
        <v>2.8888677060982228E-2</v>
      </c>
      <c r="E31" s="66" t="e">
        <f t="shared" ca="1" si="5"/>
        <v>#NAME?</v>
      </c>
      <c r="F31" s="66">
        <f t="shared" ref="F31" si="6">SQRT(F30)</f>
        <v>0.51999618709768025</v>
      </c>
    </row>
    <row r="33" spans="1:6" x14ac:dyDescent="0.25">
      <c r="A33" s="15" t="s">
        <v>99</v>
      </c>
      <c r="E33" s="30" t="s">
        <v>96</v>
      </c>
    </row>
    <row r="34" spans="1:6" x14ac:dyDescent="0.25">
      <c r="A34" s="15" t="s">
        <v>8</v>
      </c>
      <c r="E34" s="60">
        <f>(M4*B14-M5)/M7</f>
        <v>-1.2430715935334855</v>
      </c>
    </row>
    <row r="35" spans="1:6" x14ac:dyDescent="0.25">
      <c r="A35" s="15" t="s">
        <v>97</v>
      </c>
      <c r="E35">
        <f>(-M5*B14+M6)/M7</f>
        <v>0.13901270207852176</v>
      </c>
    </row>
    <row r="36" spans="1:6" x14ac:dyDescent="0.25">
      <c r="E36" s="30" t="s">
        <v>98</v>
      </c>
    </row>
    <row r="37" spans="1:6" x14ac:dyDescent="0.25">
      <c r="E37">
        <f t="array" ref="E37:E39">E34*K4:K6+E35*J4:J6</f>
        <v>-0.20612009237875256</v>
      </c>
    </row>
    <row r="38" spans="1:6" x14ac:dyDescent="0.25">
      <c r="E38">
        <v>0.28060046189376414</v>
      </c>
    </row>
    <row r="39" spans="1:6" x14ac:dyDescent="0.25">
      <c r="E39">
        <v>0.92551963048498753</v>
      </c>
    </row>
    <row r="40" spans="1:6" x14ac:dyDescent="0.25">
      <c r="E40">
        <f>SUM(E37:E39)</f>
        <v>0.99999999999999911</v>
      </c>
    </row>
    <row r="41" spans="1:6" x14ac:dyDescent="0.25">
      <c r="D41" s="20" t="s">
        <v>39</v>
      </c>
      <c r="E41">
        <f t="array" ref="E41">MMULT(TRANSPOSE(E37:E39),B11:B13)</f>
        <v>2.0000000000000011E-2</v>
      </c>
    </row>
    <row r="42" spans="1:6" x14ac:dyDescent="0.25">
      <c r="D42" s="20" t="s">
        <v>40</v>
      </c>
      <c r="E42" s="29">
        <f>E34*E41+E35</f>
        <v>0.11415127020785204</v>
      </c>
    </row>
    <row r="43" spans="1:6" x14ac:dyDescent="0.25">
      <c r="D43" s="20" t="s">
        <v>41</v>
      </c>
      <c r="E43" s="29">
        <f>SQRT(E42)</f>
        <v>0.33786279790449264</v>
      </c>
    </row>
    <row r="46" spans="1:6" x14ac:dyDescent="0.25">
      <c r="A46" t="s">
        <v>100</v>
      </c>
    </row>
    <row r="47" spans="1:6" x14ac:dyDescent="0.25">
      <c r="A47" t="s">
        <v>62</v>
      </c>
      <c r="B47" t="s">
        <v>17</v>
      </c>
      <c r="C47" t="s">
        <v>18</v>
      </c>
      <c r="D47" t="s">
        <v>19</v>
      </c>
      <c r="E47" t="s">
        <v>89</v>
      </c>
    </row>
    <row r="48" spans="1:6" x14ac:dyDescent="0.25">
      <c r="A48">
        <v>1</v>
      </c>
      <c r="B48">
        <f ca="1">RANDBETWEEN(-150, 150)/100</f>
        <v>-0.9</v>
      </c>
      <c r="C48">
        <f t="shared" ref="C48:D63" ca="1" si="7">RANDBETWEEN(-150, 150)/100</f>
        <v>0.19</v>
      </c>
      <c r="D48">
        <f t="shared" ca="1" si="7"/>
        <v>1.48</v>
      </c>
      <c r="E48">
        <f ca="1">1 -SUM(B48:D48)</f>
        <v>0.22999999999999998</v>
      </c>
      <c r="F48">
        <f ca="1">SUM(B48:E48)</f>
        <v>1</v>
      </c>
    </row>
    <row r="49" spans="1:6" x14ac:dyDescent="0.25">
      <c r="A49">
        <v>2</v>
      </c>
      <c r="B49">
        <f t="shared" ref="B49:D80" ca="1" si="8">RANDBETWEEN(-150, 150)/100</f>
        <v>0.05</v>
      </c>
      <c r="C49">
        <f t="shared" ca="1" si="7"/>
        <v>0.55000000000000004</v>
      </c>
      <c r="D49">
        <f t="shared" ca="1" si="7"/>
        <v>-1.35</v>
      </c>
      <c r="E49">
        <f t="shared" ref="E49:E112" ca="1" si="9">1 -SUM(B49:D49)</f>
        <v>1.75</v>
      </c>
      <c r="F49">
        <f t="shared" ref="F49:F112" ca="1" si="10">SUM(B49:E49)</f>
        <v>1</v>
      </c>
    </row>
    <row r="50" spans="1:6" x14ac:dyDescent="0.25">
      <c r="A50">
        <v>3</v>
      </c>
      <c r="B50">
        <f t="shared" ca="1" si="8"/>
        <v>-0.63</v>
      </c>
      <c r="C50">
        <f t="shared" ca="1" si="7"/>
        <v>0.09</v>
      </c>
      <c r="D50">
        <f t="shared" ca="1" si="7"/>
        <v>-0.8</v>
      </c>
      <c r="E50">
        <f t="shared" ca="1" si="9"/>
        <v>2.34</v>
      </c>
      <c r="F50">
        <f t="shared" ca="1" si="10"/>
        <v>0.99999999999999978</v>
      </c>
    </row>
    <row r="51" spans="1:6" x14ac:dyDescent="0.25">
      <c r="A51">
        <v>4</v>
      </c>
      <c r="B51">
        <f t="shared" ca="1" si="8"/>
        <v>-1.47</v>
      </c>
      <c r="C51">
        <f t="shared" ca="1" si="7"/>
        <v>-1.1599999999999999</v>
      </c>
      <c r="D51">
        <f t="shared" ca="1" si="7"/>
        <v>-0.67</v>
      </c>
      <c r="E51">
        <f t="shared" ca="1" si="9"/>
        <v>4.3</v>
      </c>
      <c r="F51">
        <f t="shared" ca="1" si="10"/>
        <v>1</v>
      </c>
    </row>
    <row r="52" spans="1:6" x14ac:dyDescent="0.25">
      <c r="A52">
        <v>5</v>
      </c>
      <c r="B52">
        <f t="shared" ca="1" si="8"/>
        <v>-1.32</v>
      </c>
      <c r="C52">
        <f t="shared" ca="1" si="7"/>
        <v>-0.02</v>
      </c>
      <c r="D52">
        <f t="shared" ca="1" si="7"/>
        <v>0.85</v>
      </c>
      <c r="E52">
        <f t="shared" ca="1" si="9"/>
        <v>1.4900000000000002</v>
      </c>
      <c r="F52">
        <f t="shared" ca="1" si="10"/>
        <v>1</v>
      </c>
    </row>
    <row r="53" spans="1:6" x14ac:dyDescent="0.25">
      <c r="A53">
        <v>6</v>
      </c>
      <c r="B53">
        <f t="shared" ca="1" si="8"/>
        <v>-0.05</v>
      </c>
      <c r="C53">
        <f t="shared" ca="1" si="7"/>
        <v>1.32</v>
      </c>
      <c r="D53">
        <f t="shared" ca="1" si="7"/>
        <v>-0.65</v>
      </c>
      <c r="E53">
        <f t="shared" ca="1" si="9"/>
        <v>0.38</v>
      </c>
      <c r="F53">
        <f t="shared" ca="1" si="10"/>
        <v>1</v>
      </c>
    </row>
    <row r="54" spans="1:6" x14ac:dyDescent="0.25">
      <c r="A54">
        <v>7</v>
      </c>
      <c r="B54">
        <f t="shared" ca="1" si="8"/>
        <v>0.23</v>
      </c>
      <c r="C54">
        <f t="shared" ca="1" si="7"/>
        <v>-0.96</v>
      </c>
      <c r="D54">
        <f t="shared" ca="1" si="7"/>
        <v>-0.99</v>
      </c>
      <c r="E54">
        <f t="shared" ca="1" si="9"/>
        <v>2.7199999999999998</v>
      </c>
      <c r="F54">
        <f t="shared" ca="1" si="10"/>
        <v>0.99999999999999978</v>
      </c>
    </row>
    <row r="55" spans="1:6" x14ac:dyDescent="0.25">
      <c r="A55">
        <v>8</v>
      </c>
      <c r="B55">
        <f t="shared" ca="1" si="8"/>
        <v>-0.46</v>
      </c>
      <c r="C55">
        <f t="shared" ca="1" si="7"/>
        <v>-0.56000000000000005</v>
      </c>
      <c r="D55">
        <f t="shared" ca="1" si="7"/>
        <v>-0.13</v>
      </c>
      <c r="E55">
        <f t="shared" ca="1" si="9"/>
        <v>2.15</v>
      </c>
      <c r="F55">
        <f t="shared" ca="1" si="10"/>
        <v>1</v>
      </c>
    </row>
    <row r="56" spans="1:6" x14ac:dyDescent="0.25">
      <c r="A56">
        <v>9</v>
      </c>
      <c r="B56">
        <f t="shared" ca="1" si="8"/>
        <v>0.94</v>
      </c>
      <c r="C56">
        <f t="shared" ca="1" si="7"/>
        <v>1.27</v>
      </c>
      <c r="D56">
        <f t="shared" ca="1" si="7"/>
        <v>-0.97</v>
      </c>
      <c r="E56">
        <f t="shared" ca="1" si="9"/>
        <v>-0.24</v>
      </c>
      <c r="F56">
        <f t="shared" ca="1" si="10"/>
        <v>1</v>
      </c>
    </row>
    <row r="57" spans="1:6" x14ac:dyDescent="0.25">
      <c r="A57">
        <v>10</v>
      </c>
      <c r="B57">
        <f t="shared" ca="1" si="8"/>
        <v>-0.52</v>
      </c>
      <c r="C57">
        <f t="shared" ca="1" si="7"/>
        <v>-1.48</v>
      </c>
      <c r="D57">
        <f t="shared" ca="1" si="7"/>
        <v>0.14000000000000001</v>
      </c>
      <c r="E57">
        <f t="shared" ca="1" si="9"/>
        <v>2.86</v>
      </c>
      <c r="F57">
        <f t="shared" ca="1" si="10"/>
        <v>1</v>
      </c>
    </row>
    <row r="58" spans="1:6" x14ac:dyDescent="0.25">
      <c r="A58">
        <v>11</v>
      </c>
      <c r="B58">
        <f t="shared" ca="1" si="8"/>
        <v>-0.05</v>
      </c>
      <c r="C58">
        <f t="shared" ca="1" si="7"/>
        <v>-0.03</v>
      </c>
      <c r="D58">
        <f t="shared" ca="1" si="7"/>
        <v>1.47</v>
      </c>
      <c r="E58">
        <f t="shared" ca="1" si="9"/>
        <v>-0.3899999999999999</v>
      </c>
      <c r="F58">
        <f t="shared" ca="1" si="10"/>
        <v>1</v>
      </c>
    </row>
    <row r="59" spans="1:6" x14ac:dyDescent="0.25">
      <c r="A59">
        <v>12</v>
      </c>
      <c r="B59">
        <f t="shared" ca="1" si="8"/>
        <v>0.96</v>
      </c>
      <c r="C59">
        <f t="shared" ca="1" si="7"/>
        <v>0.95</v>
      </c>
      <c r="D59">
        <f t="shared" ca="1" si="7"/>
        <v>-1.27</v>
      </c>
      <c r="E59">
        <f t="shared" ca="1" si="9"/>
        <v>0.3600000000000001</v>
      </c>
      <c r="F59">
        <f t="shared" ca="1" si="10"/>
        <v>1</v>
      </c>
    </row>
    <row r="60" spans="1:6" x14ac:dyDescent="0.25">
      <c r="A60">
        <v>13</v>
      </c>
      <c r="B60">
        <f t="shared" ca="1" si="8"/>
        <v>0.77</v>
      </c>
      <c r="C60">
        <f t="shared" ca="1" si="7"/>
        <v>1.4</v>
      </c>
      <c r="D60">
        <f t="shared" ca="1" si="7"/>
        <v>-1.38</v>
      </c>
      <c r="E60">
        <f t="shared" ca="1" si="9"/>
        <v>0.20999999999999996</v>
      </c>
      <c r="F60">
        <f t="shared" ca="1" si="10"/>
        <v>1</v>
      </c>
    </row>
    <row r="61" spans="1:6" x14ac:dyDescent="0.25">
      <c r="A61">
        <v>14</v>
      </c>
      <c r="B61">
        <f t="shared" ca="1" si="8"/>
        <v>0.15</v>
      </c>
      <c r="C61">
        <f t="shared" ca="1" si="7"/>
        <v>1.31</v>
      </c>
      <c r="D61">
        <f t="shared" ca="1" si="7"/>
        <v>0.89</v>
      </c>
      <c r="E61">
        <f t="shared" ca="1" si="9"/>
        <v>-1.35</v>
      </c>
      <c r="F61">
        <f t="shared" ca="1" si="10"/>
        <v>1</v>
      </c>
    </row>
    <row r="62" spans="1:6" x14ac:dyDescent="0.25">
      <c r="A62">
        <v>15</v>
      </c>
      <c r="B62">
        <f t="shared" ca="1" si="8"/>
        <v>-7.0000000000000007E-2</v>
      </c>
      <c r="C62">
        <f t="shared" ca="1" si="7"/>
        <v>-0.05</v>
      </c>
      <c r="D62">
        <f t="shared" ca="1" si="7"/>
        <v>-1.08</v>
      </c>
      <c r="E62">
        <f t="shared" ca="1" si="9"/>
        <v>2.2000000000000002</v>
      </c>
      <c r="F62">
        <f t="shared" ca="1" si="10"/>
        <v>1</v>
      </c>
    </row>
    <row r="63" spans="1:6" x14ac:dyDescent="0.25">
      <c r="A63">
        <v>16</v>
      </c>
      <c r="B63">
        <f t="shared" ca="1" si="8"/>
        <v>1.34</v>
      </c>
      <c r="C63">
        <f t="shared" ca="1" si="7"/>
        <v>1.18</v>
      </c>
      <c r="D63">
        <f t="shared" ca="1" si="7"/>
        <v>-1.01</v>
      </c>
      <c r="E63">
        <f t="shared" ca="1" si="9"/>
        <v>-0.51</v>
      </c>
      <c r="F63">
        <f t="shared" ca="1" si="10"/>
        <v>1</v>
      </c>
    </row>
    <row r="64" spans="1:6" x14ac:dyDescent="0.25">
      <c r="A64">
        <v>17</v>
      </c>
      <c r="B64">
        <f t="shared" ca="1" si="8"/>
        <v>1.22</v>
      </c>
      <c r="C64">
        <f t="shared" ca="1" si="8"/>
        <v>-0.12</v>
      </c>
      <c r="D64">
        <f t="shared" ca="1" si="8"/>
        <v>-0.91</v>
      </c>
      <c r="E64">
        <f t="shared" ca="1" si="9"/>
        <v>0.80999999999999994</v>
      </c>
      <c r="F64">
        <f t="shared" ca="1" si="10"/>
        <v>1</v>
      </c>
    </row>
    <row r="65" spans="1:6" x14ac:dyDescent="0.25">
      <c r="A65">
        <v>18</v>
      </c>
      <c r="B65">
        <f t="shared" ca="1" si="8"/>
        <v>1.35</v>
      </c>
      <c r="C65">
        <f t="shared" ca="1" si="8"/>
        <v>0.71</v>
      </c>
      <c r="D65">
        <f t="shared" ca="1" si="8"/>
        <v>0.77</v>
      </c>
      <c r="E65">
        <f t="shared" ca="1" si="9"/>
        <v>-1.83</v>
      </c>
      <c r="F65">
        <f t="shared" ca="1" si="10"/>
        <v>1</v>
      </c>
    </row>
    <row r="66" spans="1:6" x14ac:dyDescent="0.25">
      <c r="A66">
        <v>19</v>
      </c>
      <c r="B66">
        <f t="shared" ca="1" si="8"/>
        <v>-1.39</v>
      </c>
      <c r="C66">
        <f t="shared" ca="1" si="8"/>
        <v>-0.31</v>
      </c>
      <c r="D66">
        <f t="shared" ca="1" si="8"/>
        <v>-1.43</v>
      </c>
      <c r="E66">
        <f t="shared" ca="1" si="9"/>
        <v>4.13</v>
      </c>
      <c r="F66">
        <f t="shared" ca="1" si="10"/>
        <v>1</v>
      </c>
    </row>
    <row r="67" spans="1:6" x14ac:dyDescent="0.25">
      <c r="A67">
        <v>20</v>
      </c>
      <c r="B67">
        <f t="shared" ca="1" si="8"/>
        <v>-0.13</v>
      </c>
      <c r="C67">
        <f t="shared" ca="1" si="8"/>
        <v>-0.48</v>
      </c>
      <c r="D67">
        <f t="shared" ca="1" si="8"/>
        <v>-0.55000000000000004</v>
      </c>
      <c r="E67">
        <f t="shared" ca="1" si="9"/>
        <v>2.16</v>
      </c>
      <c r="F67">
        <f t="shared" ca="1" si="10"/>
        <v>1</v>
      </c>
    </row>
    <row r="68" spans="1:6" x14ac:dyDescent="0.25">
      <c r="A68">
        <v>21</v>
      </c>
      <c r="B68">
        <f t="shared" ca="1" si="8"/>
        <v>0.52</v>
      </c>
      <c r="C68">
        <f t="shared" ca="1" si="8"/>
        <v>-1.47</v>
      </c>
      <c r="D68">
        <f t="shared" ca="1" si="8"/>
        <v>1.48</v>
      </c>
      <c r="E68">
        <f t="shared" ca="1" si="9"/>
        <v>0.47</v>
      </c>
      <c r="F68">
        <f t="shared" ca="1" si="10"/>
        <v>1</v>
      </c>
    </row>
    <row r="69" spans="1:6" x14ac:dyDescent="0.25">
      <c r="A69">
        <v>22</v>
      </c>
      <c r="B69">
        <f t="shared" ca="1" si="8"/>
        <v>0.25</v>
      </c>
      <c r="C69">
        <f t="shared" ca="1" si="8"/>
        <v>-0.77</v>
      </c>
      <c r="D69">
        <f t="shared" ca="1" si="8"/>
        <v>0.19</v>
      </c>
      <c r="E69">
        <f t="shared" ca="1" si="9"/>
        <v>1.33</v>
      </c>
      <c r="F69">
        <f t="shared" ca="1" si="10"/>
        <v>1</v>
      </c>
    </row>
    <row r="70" spans="1:6" x14ac:dyDescent="0.25">
      <c r="A70">
        <v>23</v>
      </c>
      <c r="B70">
        <f t="shared" ca="1" si="8"/>
        <v>-0.78</v>
      </c>
      <c r="C70">
        <f t="shared" ca="1" si="8"/>
        <v>-1.21</v>
      </c>
      <c r="D70">
        <f t="shared" ca="1" si="8"/>
        <v>-1.36</v>
      </c>
      <c r="E70">
        <f t="shared" ca="1" si="9"/>
        <v>4.3499999999999996</v>
      </c>
      <c r="F70">
        <f t="shared" ca="1" si="10"/>
        <v>0.99999999999999956</v>
      </c>
    </row>
    <row r="71" spans="1:6" x14ac:dyDescent="0.25">
      <c r="A71">
        <v>24</v>
      </c>
      <c r="B71">
        <f t="shared" ca="1" si="8"/>
        <v>-0.84</v>
      </c>
      <c r="C71">
        <f t="shared" ca="1" si="8"/>
        <v>0.06</v>
      </c>
      <c r="D71">
        <f t="shared" ca="1" si="8"/>
        <v>-1.25</v>
      </c>
      <c r="E71">
        <f t="shared" ca="1" si="9"/>
        <v>3.0300000000000002</v>
      </c>
      <c r="F71">
        <f t="shared" ca="1" si="10"/>
        <v>1</v>
      </c>
    </row>
    <row r="72" spans="1:6" x14ac:dyDescent="0.25">
      <c r="A72">
        <v>25</v>
      </c>
      <c r="B72">
        <f t="shared" ca="1" si="8"/>
        <v>0.14000000000000001</v>
      </c>
      <c r="C72">
        <f t="shared" ca="1" si="8"/>
        <v>-0.42</v>
      </c>
      <c r="D72">
        <f t="shared" ca="1" si="8"/>
        <v>-1.37</v>
      </c>
      <c r="E72">
        <f t="shared" ca="1" si="9"/>
        <v>2.6500000000000004</v>
      </c>
      <c r="F72">
        <f t="shared" ca="1" si="10"/>
        <v>1.0000000000000002</v>
      </c>
    </row>
    <row r="73" spans="1:6" x14ac:dyDescent="0.25">
      <c r="A73">
        <v>26</v>
      </c>
      <c r="B73">
        <f t="shared" ca="1" si="8"/>
        <v>-1.04</v>
      </c>
      <c r="C73">
        <f t="shared" ca="1" si="8"/>
        <v>0.16</v>
      </c>
      <c r="D73">
        <f t="shared" ca="1" si="8"/>
        <v>1.4</v>
      </c>
      <c r="E73">
        <f t="shared" ca="1" si="9"/>
        <v>0.48000000000000009</v>
      </c>
      <c r="F73">
        <f t="shared" ca="1" si="10"/>
        <v>1</v>
      </c>
    </row>
    <row r="74" spans="1:6" x14ac:dyDescent="0.25">
      <c r="A74">
        <v>27</v>
      </c>
      <c r="B74">
        <f t="shared" ca="1" si="8"/>
        <v>0.6</v>
      </c>
      <c r="C74">
        <f t="shared" ca="1" si="8"/>
        <v>0.76</v>
      </c>
      <c r="D74">
        <f t="shared" ca="1" si="8"/>
        <v>-0.93</v>
      </c>
      <c r="E74">
        <f t="shared" ca="1" si="9"/>
        <v>0.57000000000000017</v>
      </c>
      <c r="F74">
        <f t="shared" ca="1" si="10"/>
        <v>1</v>
      </c>
    </row>
    <row r="75" spans="1:6" x14ac:dyDescent="0.25">
      <c r="A75">
        <v>28</v>
      </c>
      <c r="B75">
        <f t="shared" ca="1" si="8"/>
        <v>-0.49</v>
      </c>
      <c r="C75">
        <f t="shared" ca="1" si="8"/>
        <v>0.79</v>
      </c>
      <c r="D75">
        <f t="shared" ca="1" si="8"/>
        <v>0.76</v>
      </c>
      <c r="E75">
        <f t="shared" ca="1" si="9"/>
        <v>-6.0000000000000053E-2</v>
      </c>
      <c r="F75">
        <f t="shared" ca="1" si="10"/>
        <v>1</v>
      </c>
    </row>
    <row r="76" spans="1:6" x14ac:dyDescent="0.25">
      <c r="A76">
        <v>29</v>
      </c>
      <c r="B76">
        <f t="shared" ca="1" si="8"/>
        <v>0.33</v>
      </c>
      <c r="C76">
        <f t="shared" ca="1" si="8"/>
        <v>-0.86</v>
      </c>
      <c r="D76">
        <f t="shared" ca="1" si="8"/>
        <v>-1.05</v>
      </c>
      <c r="E76">
        <f t="shared" ca="1" si="9"/>
        <v>2.58</v>
      </c>
      <c r="F76">
        <f t="shared" ca="1" si="10"/>
        <v>1</v>
      </c>
    </row>
    <row r="77" spans="1:6" x14ac:dyDescent="0.25">
      <c r="A77">
        <v>30</v>
      </c>
      <c r="B77">
        <f t="shared" ca="1" si="8"/>
        <v>0.85</v>
      </c>
      <c r="C77">
        <f t="shared" ca="1" si="8"/>
        <v>1.28</v>
      </c>
      <c r="D77">
        <f t="shared" ca="1" si="8"/>
        <v>0.05</v>
      </c>
      <c r="E77">
        <f t="shared" ca="1" si="9"/>
        <v>-1.1799999999999997</v>
      </c>
      <c r="F77">
        <f t="shared" ca="1" si="10"/>
        <v>1</v>
      </c>
    </row>
    <row r="78" spans="1:6" x14ac:dyDescent="0.25">
      <c r="A78">
        <v>31</v>
      </c>
      <c r="B78">
        <f t="shared" ca="1" si="8"/>
        <v>-1.08</v>
      </c>
      <c r="C78">
        <f t="shared" ca="1" si="8"/>
        <v>0.5</v>
      </c>
      <c r="D78">
        <f t="shared" ca="1" si="8"/>
        <v>-0.13</v>
      </c>
      <c r="E78">
        <f t="shared" ca="1" si="9"/>
        <v>1.71</v>
      </c>
      <c r="F78">
        <f t="shared" ca="1" si="10"/>
        <v>0.99999999999999989</v>
      </c>
    </row>
    <row r="79" spans="1:6" x14ac:dyDescent="0.25">
      <c r="A79">
        <v>32</v>
      </c>
      <c r="B79">
        <f t="shared" ca="1" si="8"/>
        <v>1.38</v>
      </c>
      <c r="C79">
        <f t="shared" ca="1" si="8"/>
        <v>0.31</v>
      </c>
      <c r="D79">
        <f t="shared" ca="1" si="8"/>
        <v>0.34</v>
      </c>
      <c r="E79">
        <f t="shared" ca="1" si="9"/>
        <v>-1.0299999999999998</v>
      </c>
      <c r="F79">
        <f t="shared" ca="1" si="10"/>
        <v>1</v>
      </c>
    </row>
    <row r="80" spans="1:6" x14ac:dyDescent="0.25">
      <c r="A80">
        <v>33</v>
      </c>
      <c r="B80">
        <f t="shared" ca="1" si="8"/>
        <v>-1.1000000000000001</v>
      </c>
      <c r="C80">
        <f t="shared" ca="1" si="8"/>
        <v>-1.34</v>
      </c>
      <c r="D80">
        <f t="shared" ca="1" si="8"/>
        <v>1.33</v>
      </c>
      <c r="E80">
        <f t="shared" ca="1" si="9"/>
        <v>2.1100000000000003</v>
      </c>
      <c r="F80">
        <f t="shared" ca="1" si="10"/>
        <v>1</v>
      </c>
    </row>
    <row r="81" spans="1:6" x14ac:dyDescent="0.25">
      <c r="A81">
        <v>34</v>
      </c>
      <c r="B81">
        <f t="shared" ref="B81:D112" ca="1" si="11">RANDBETWEEN(-150, 150)/100</f>
        <v>0.72</v>
      </c>
      <c r="C81">
        <f t="shared" ca="1" si="11"/>
        <v>1.1499999999999999</v>
      </c>
      <c r="D81">
        <f t="shared" ca="1" si="11"/>
        <v>0.83</v>
      </c>
      <c r="E81">
        <f t="shared" ca="1" si="9"/>
        <v>-1.6999999999999997</v>
      </c>
      <c r="F81">
        <f t="shared" ca="1" si="10"/>
        <v>1</v>
      </c>
    </row>
    <row r="82" spans="1:6" x14ac:dyDescent="0.25">
      <c r="A82">
        <v>35</v>
      </c>
      <c r="B82">
        <f t="shared" ca="1" si="11"/>
        <v>-0.44</v>
      </c>
      <c r="C82">
        <f t="shared" ca="1" si="11"/>
        <v>-0.56999999999999995</v>
      </c>
      <c r="D82">
        <f t="shared" ca="1" si="11"/>
        <v>0.84</v>
      </c>
      <c r="E82">
        <f t="shared" ca="1" si="9"/>
        <v>1.17</v>
      </c>
      <c r="F82">
        <f t="shared" ca="1" si="10"/>
        <v>0.99999999999999989</v>
      </c>
    </row>
    <row r="83" spans="1:6" x14ac:dyDescent="0.25">
      <c r="A83">
        <v>36</v>
      </c>
      <c r="B83">
        <f t="shared" ca="1" si="11"/>
        <v>-0.53</v>
      </c>
      <c r="C83">
        <f t="shared" ca="1" si="11"/>
        <v>-0.1</v>
      </c>
      <c r="D83">
        <f t="shared" ca="1" si="11"/>
        <v>-1.48</v>
      </c>
      <c r="E83">
        <f t="shared" ca="1" si="9"/>
        <v>3.11</v>
      </c>
      <c r="F83">
        <f t="shared" ca="1" si="10"/>
        <v>1</v>
      </c>
    </row>
    <row r="84" spans="1:6" x14ac:dyDescent="0.25">
      <c r="A84">
        <v>37</v>
      </c>
      <c r="B84">
        <f t="shared" ca="1" si="11"/>
        <v>-1.1299999999999999</v>
      </c>
      <c r="C84">
        <f t="shared" ca="1" si="11"/>
        <v>0.38</v>
      </c>
      <c r="D84">
        <f t="shared" ca="1" si="11"/>
        <v>1.49</v>
      </c>
      <c r="E84">
        <f t="shared" ca="1" si="9"/>
        <v>0.2599999999999999</v>
      </c>
      <c r="F84">
        <f t="shared" ca="1" si="10"/>
        <v>1</v>
      </c>
    </row>
    <row r="85" spans="1:6" x14ac:dyDescent="0.25">
      <c r="A85">
        <v>38</v>
      </c>
      <c r="B85">
        <f t="shared" ca="1" si="11"/>
        <v>1.03</v>
      </c>
      <c r="C85">
        <f t="shared" ca="1" si="11"/>
        <v>-1.45</v>
      </c>
      <c r="D85">
        <f t="shared" ca="1" si="11"/>
        <v>-0.55000000000000004</v>
      </c>
      <c r="E85">
        <f t="shared" ca="1" si="9"/>
        <v>1.97</v>
      </c>
      <c r="F85">
        <f t="shared" ca="1" si="10"/>
        <v>1</v>
      </c>
    </row>
    <row r="86" spans="1:6" x14ac:dyDescent="0.25">
      <c r="A86">
        <v>39</v>
      </c>
      <c r="B86">
        <f t="shared" ca="1" si="11"/>
        <v>0.19</v>
      </c>
      <c r="C86">
        <f t="shared" ca="1" si="11"/>
        <v>0.9</v>
      </c>
      <c r="D86">
        <f t="shared" ca="1" si="11"/>
        <v>1</v>
      </c>
      <c r="E86">
        <f t="shared" ca="1" si="9"/>
        <v>-1.0899999999999999</v>
      </c>
      <c r="F86">
        <f t="shared" ca="1" si="10"/>
        <v>1</v>
      </c>
    </row>
    <row r="87" spans="1:6" x14ac:dyDescent="0.25">
      <c r="A87">
        <v>40</v>
      </c>
      <c r="B87">
        <f t="shared" ca="1" si="11"/>
        <v>-1.1000000000000001</v>
      </c>
      <c r="C87">
        <f t="shared" ca="1" si="11"/>
        <v>-0.05</v>
      </c>
      <c r="D87">
        <f t="shared" ca="1" si="11"/>
        <v>1.23</v>
      </c>
      <c r="E87">
        <f t="shared" ca="1" si="9"/>
        <v>0.92000000000000015</v>
      </c>
      <c r="F87">
        <f t="shared" ca="1" si="10"/>
        <v>1</v>
      </c>
    </row>
    <row r="88" spans="1:6" x14ac:dyDescent="0.25">
      <c r="A88">
        <v>41</v>
      </c>
      <c r="B88">
        <f t="shared" ca="1" si="11"/>
        <v>1.23</v>
      </c>
      <c r="C88">
        <f t="shared" ca="1" si="11"/>
        <v>0.66</v>
      </c>
      <c r="D88">
        <f t="shared" ca="1" si="11"/>
        <v>-1.21</v>
      </c>
      <c r="E88">
        <f t="shared" ca="1" si="9"/>
        <v>0.31999999999999984</v>
      </c>
      <c r="F88">
        <f t="shared" ca="1" si="10"/>
        <v>1</v>
      </c>
    </row>
    <row r="89" spans="1:6" x14ac:dyDescent="0.25">
      <c r="A89">
        <v>42</v>
      </c>
      <c r="B89">
        <f t="shared" ca="1" si="11"/>
        <v>-0.82</v>
      </c>
      <c r="C89">
        <f t="shared" ca="1" si="11"/>
        <v>1.47</v>
      </c>
      <c r="D89">
        <f t="shared" ca="1" si="11"/>
        <v>1.1200000000000001</v>
      </c>
      <c r="E89">
        <f t="shared" ca="1" si="9"/>
        <v>-0.77</v>
      </c>
      <c r="F89">
        <f t="shared" ca="1" si="10"/>
        <v>1</v>
      </c>
    </row>
    <row r="90" spans="1:6" x14ac:dyDescent="0.25">
      <c r="A90">
        <v>43</v>
      </c>
      <c r="B90">
        <f t="shared" ca="1" si="11"/>
        <v>-0.27</v>
      </c>
      <c r="C90">
        <f t="shared" ca="1" si="11"/>
        <v>1.0900000000000001</v>
      </c>
      <c r="D90">
        <f t="shared" ca="1" si="11"/>
        <v>-0.18</v>
      </c>
      <c r="E90">
        <f t="shared" ca="1" si="9"/>
        <v>0.35999999999999988</v>
      </c>
      <c r="F90">
        <f t="shared" ca="1" si="10"/>
        <v>1</v>
      </c>
    </row>
    <row r="91" spans="1:6" x14ac:dyDescent="0.25">
      <c r="A91">
        <v>44</v>
      </c>
      <c r="B91">
        <f t="shared" ca="1" si="11"/>
        <v>0.8</v>
      </c>
      <c r="C91">
        <f t="shared" ca="1" si="11"/>
        <v>-0.56999999999999995</v>
      </c>
      <c r="D91">
        <f t="shared" ca="1" si="11"/>
        <v>-1.17</v>
      </c>
      <c r="E91">
        <f t="shared" ca="1" si="9"/>
        <v>1.94</v>
      </c>
      <c r="F91">
        <f t="shared" ca="1" si="10"/>
        <v>1</v>
      </c>
    </row>
    <row r="92" spans="1:6" x14ac:dyDescent="0.25">
      <c r="A92">
        <v>45</v>
      </c>
      <c r="B92">
        <f t="shared" ca="1" si="11"/>
        <v>0.4</v>
      </c>
      <c r="C92">
        <f t="shared" ca="1" si="11"/>
        <v>-1.49</v>
      </c>
      <c r="D92">
        <f t="shared" ca="1" si="11"/>
        <v>-1.39</v>
      </c>
      <c r="E92">
        <f t="shared" ca="1" si="9"/>
        <v>3.4799999999999995</v>
      </c>
      <c r="F92">
        <f t="shared" ca="1" si="10"/>
        <v>1</v>
      </c>
    </row>
    <row r="93" spans="1:6" x14ac:dyDescent="0.25">
      <c r="A93">
        <v>46</v>
      </c>
      <c r="B93">
        <f t="shared" ca="1" si="11"/>
        <v>1.25</v>
      </c>
      <c r="C93">
        <f t="shared" ca="1" si="11"/>
        <v>-0.67</v>
      </c>
      <c r="D93">
        <f t="shared" ca="1" si="11"/>
        <v>-1.37</v>
      </c>
      <c r="E93">
        <f t="shared" ca="1" si="9"/>
        <v>1.79</v>
      </c>
      <c r="F93">
        <f t="shared" ca="1" si="10"/>
        <v>0.99999999999999989</v>
      </c>
    </row>
    <row r="94" spans="1:6" x14ac:dyDescent="0.25">
      <c r="A94">
        <v>47</v>
      </c>
      <c r="B94">
        <f t="shared" ca="1" si="11"/>
        <v>1.5</v>
      </c>
      <c r="C94">
        <f t="shared" ca="1" si="11"/>
        <v>1.1599999999999999</v>
      </c>
      <c r="D94">
        <f t="shared" ca="1" si="11"/>
        <v>1.26</v>
      </c>
      <c r="E94">
        <f t="shared" ca="1" si="9"/>
        <v>-2.92</v>
      </c>
      <c r="F94">
        <f t="shared" ca="1" si="10"/>
        <v>1</v>
      </c>
    </row>
    <row r="95" spans="1:6" x14ac:dyDescent="0.25">
      <c r="A95">
        <v>48</v>
      </c>
      <c r="B95">
        <f t="shared" ca="1" si="11"/>
        <v>0.96</v>
      </c>
      <c r="C95">
        <f t="shared" ca="1" si="11"/>
        <v>0.94</v>
      </c>
      <c r="D95">
        <f t="shared" ca="1" si="11"/>
        <v>-1.26</v>
      </c>
      <c r="E95">
        <f t="shared" ca="1" si="9"/>
        <v>0.3600000000000001</v>
      </c>
      <c r="F95">
        <f t="shared" ca="1" si="10"/>
        <v>1</v>
      </c>
    </row>
    <row r="96" spans="1:6" x14ac:dyDescent="0.25">
      <c r="A96">
        <v>49</v>
      </c>
      <c r="B96">
        <f t="shared" ca="1" si="11"/>
        <v>-0.69</v>
      </c>
      <c r="C96">
        <f t="shared" ca="1" si="11"/>
        <v>0.52</v>
      </c>
      <c r="D96">
        <f t="shared" ca="1" si="11"/>
        <v>-1.47</v>
      </c>
      <c r="E96">
        <f t="shared" ca="1" si="9"/>
        <v>2.6399999999999997</v>
      </c>
      <c r="F96">
        <f t="shared" ca="1" si="10"/>
        <v>0.99999999999999978</v>
      </c>
    </row>
    <row r="97" spans="1:6" x14ac:dyDescent="0.25">
      <c r="A97">
        <v>50</v>
      </c>
      <c r="B97">
        <f t="shared" ca="1" si="11"/>
        <v>-0.26</v>
      </c>
      <c r="C97">
        <f t="shared" ca="1" si="11"/>
        <v>0.15</v>
      </c>
      <c r="D97">
        <f t="shared" ca="1" si="11"/>
        <v>-0.54</v>
      </c>
      <c r="E97">
        <f t="shared" ca="1" si="9"/>
        <v>1.65</v>
      </c>
      <c r="F97">
        <f t="shared" ca="1" si="10"/>
        <v>0.99999999999999989</v>
      </c>
    </row>
    <row r="98" spans="1:6" x14ac:dyDescent="0.25">
      <c r="A98">
        <v>51</v>
      </c>
      <c r="B98">
        <f t="shared" ca="1" si="11"/>
        <v>-0.64</v>
      </c>
      <c r="C98">
        <f t="shared" ca="1" si="11"/>
        <v>-0.37</v>
      </c>
      <c r="D98">
        <f t="shared" ca="1" si="11"/>
        <v>0.36</v>
      </c>
      <c r="E98">
        <f t="shared" ca="1" si="9"/>
        <v>1.65</v>
      </c>
      <c r="F98">
        <f t="shared" ca="1" si="10"/>
        <v>0.99999999999999989</v>
      </c>
    </row>
    <row r="99" spans="1:6" x14ac:dyDescent="0.25">
      <c r="A99">
        <v>52</v>
      </c>
      <c r="B99">
        <f t="shared" ca="1" si="11"/>
        <v>0.03</v>
      </c>
      <c r="C99">
        <f t="shared" ca="1" si="11"/>
        <v>1.06</v>
      </c>
      <c r="D99">
        <f t="shared" ca="1" si="11"/>
        <v>-1.44</v>
      </c>
      <c r="E99">
        <f t="shared" ca="1" si="9"/>
        <v>1.3499999999999999</v>
      </c>
      <c r="F99">
        <f t="shared" ca="1" si="10"/>
        <v>1</v>
      </c>
    </row>
    <row r="100" spans="1:6" x14ac:dyDescent="0.25">
      <c r="A100">
        <v>53</v>
      </c>
      <c r="B100">
        <f t="shared" ca="1" si="11"/>
        <v>-0.63</v>
      </c>
      <c r="C100">
        <f t="shared" ca="1" si="11"/>
        <v>-0.85</v>
      </c>
      <c r="D100">
        <f t="shared" ca="1" si="11"/>
        <v>-1.1499999999999999</v>
      </c>
      <c r="E100">
        <f t="shared" ca="1" si="9"/>
        <v>3.63</v>
      </c>
      <c r="F100">
        <f t="shared" ca="1" si="10"/>
        <v>1</v>
      </c>
    </row>
    <row r="101" spans="1:6" x14ac:dyDescent="0.25">
      <c r="A101">
        <v>54</v>
      </c>
      <c r="B101">
        <f t="shared" ca="1" si="11"/>
        <v>1.1599999999999999</v>
      </c>
      <c r="C101">
        <f t="shared" ca="1" si="11"/>
        <v>-0.79</v>
      </c>
      <c r="D101">
        <f t="shared" ca="1" si="11"/>
        <v>-1.08</v>
      </c>
      <c r="E101">
        <f t="shared" ca="1" si="9"/>
        <v>1.7100000000000002</v>
      </c>
      <c r="F101">
        <f t="shared" ca="1" si="10"/>
        <v>1</v>
      </c>
    </row>
    <row r="102" spans="1:6" x14ac:dyDescent="0.25">
      <c r="A102">
        <v>55</v>
      </c>
      <c r="B102">
        <f t="shared" ca="1" si="11"/>
        <v>0.85</v>
      </c>
      <c r="C102">
        <f t="shared" ca="1" si="11"/>
        <v>0.51</v>
      </c>
      <c r="D102">
        <f t="shared" ca="1" si="11"/>
        <v>0.79</v>
      </c>
      <c r="E102">
        <f t="shared" ca="1" si="9"/>
        <v>-1.1499999999999999</v>
      </c>
      <c r="F102">
        <f t="shared" ca="1" si="10"/>
        <v>1</v>
      </c>
    </row>
    <row r="103" spans="1:6" x14ac:dyDescent="0.25">
      <c r="A103">
        <v>56</v>
      </c>
      <c r="B103">
        <f t="shared" ca="1" si="11"/>
        <v>-1.47</v>
      </c>
      <c r="C103">
        <f t="shared" ca="1" si="11"/>
        <v>-0.39</v>
      </c>
      <c r="D103">
        <f t="shared" ca="1" si="11"/>
        <v>1.02</v>
      </c>
      <c r="E103">
        <f t="shared" ca="1" si="9"/>
        <v>1.8399999999999999</v>
      </c>
      <c r="F103">
        <f t="shared" ca="1" si="10"/>
        <v>1</v>
      </c>
    </row>
    <row r="104" spans="1:6" x14ac:dyDescent="0.25">
      <c r="A104">
        <v>57</v>
      </c>
      <c r="B104">
        <f t="shared" ca="1" si="11"/>
        <v>-0.81</v>
      </c>
      <c r="C104">
        <f t="shared" ca="1" si="11"/>
        <v>-1.1399999999999999</v>
      </c>
      <c r="D104">
        <f t="shared" ca="1" si="11"/>
        <v>-0.25</v>
      </c>
      <c r="E104">
        <f t="shared" ca="1" si="9"/>
        <v>3.2</v>
      </c>
      <c r="F104">
        <f t="shared" ca="1" si="10"/>
        <v>1</v>
      </c>
    </row>
    <row r="105" spans="1:6" x14ac:dyDescent="0.25">
      <c r="A105">
        <v>58</v>
      </c>
      <c r="B105">
        <f t="shared" ca="1" si="11"/>
        <v>-0.28999999999999998</v>
      </c>
      <c r="C105">
        <f t="shared" ca="1" si="11"/>
        <v>-0.22</v>
      </c>
      <c r="D105">
        <f t="shared" ca="1" si="11"/>
        <v>-0.89</v>
      </c>
      <c r="E105">
        <f t="shared" ca="1" si="9"/>
        <v>2.4</v>
      </c>
      <c r="F105">
        <f t="shared" ca="1" si="10"/>
        <v>1</v>
      </c>
    </row>
    <row r="106" spans="1:6" x14ac:dyDescent="0.25">
      <c r="A106">
        <v>59</v>
      </c>
      <c r="B106">
        <f t="shared" ca="1" si="11"/>
        <v>1.05</v>
      </c>
      <c r="C106">
        <f t="shared" ca="1" si="11"/>
        <v>-0.28999999999999998</v>
      </c>
      <c r="D106">
        <f t="shared" ca="1" si="11"/>
        <v>-0.5</v>
      </c>
      <c r="E106">
        <f t="shared" ca="1" si="9"/>
        <v>0.74</v>
      </c>
      <c r="F106">
        <f t="shared" ca="1" si="10"/>
        <v>1</v>
      </c>
    </row>
    <row r="107" spans="1:6" x14ac:dyDescent="0.25">
      <c r="A107">
        <v>60</v>
      </c>
      <c r="B107">
        <f t="shared" ca="1" si="11"/>
        <v>0</v>
      </c>
      <c r="C107">
        <f t="shared" ca="1" si="11"/>
        <v>1.22</v>
      </c>
      <c r="D107">
        <f t="shared" ca="1" si="11"/>
        <v>1.06</v>
      </c>
      <c r="E107">
        <f t="shared" ca="1" si="9"/>
        <v>-1.2800000000000002</v>
      </c>
      <c r="F107">
        <f t="shared" ca="1" si="10"/>
        <v>1</v>
      </c>
    </row>
    <row r="108" spans="1:6" x14ac:dyDescent="0.25">
      <c r="A108">
        <v>61</v>
      </c>
      <c r="B108">
        <f t="shared" ca="1" si="11"/>
        <v>1.19</v>
      </c>
      <c r="C108">
        <f t="shared" ca="1" si="11"/>
        <v>-0.56999999999999995</v>
      </c>
      <c r="D108">
        <f t="shared" ca="1" si="11"/>
        <v>-1.48</v>
      </c>
      <c r="E108">
        <f t="shared" ca="1" si="9"/>
        <v>1.8599999999999999</v>
      </c>
      <c r="F108">
        <f t="shared" ca="1" si="10"/>
        <v>0.99999999999999989</v>
      </c>
    </row>
    <row r="109" spans="1:6" x14ac:dyDescent="0.25">
      <c r="A109">
        <v>62</v>
      </c>
      <c r="B109">
        <f t="shared" ca="1" si="11"/>
        <v>0.79</v>
      </c>
      <c r="C109">
        <f t="shared" ca="1" si="11"/>
        <v>1.38</v>
      </c>
      <c r="D109">
        <f t="shared" ca="1" si="11"/>
        <v>-0.85</v>
      </c>
      <c r="E109">
        <f t="shared" ca="1" si="9"/>
        <v>-0.31999999999999984</v>
      </c>
      <c r="F109">
        <f t="shared" ca="1" si="10"/>
        <v>1</v>
      </c>
    </row>
    <row r="110" spans="1:6" x14ac:dyDescent="0.25">
      <c r="A110">
        <v>63</v>
      </c>
      <c r="B110">
        <f t="shared" ca="1" si="11"/>
        <v>-1.29</v>
      </c>
      <c r="C110">
        <f t="shared" ca="1" si="11"/>
        <v>1.05</v>
      </c>
      <c r="D110">
        <f t="shared" ca="1" si="11"/>
        <v>1.01</v>
      </c>
      <c r="E110">
        <f t="shared" ca="1" si="9"/>
        <v>0.22999999999999998</v>
      </c>
      <c r="F110">
        <f t="shared" ca="1" si="10"/>
        <v>1</v>
      </c>
    </row>
    <row r="111" spans="1:6" x14ac:dyDescent="0.25">
      <c r="A111">
        <v>64</v>
      </c>
      <c r="B111">
        <f t="shared" ca="1" si="11"/>
        <v>-0.88</v>
      </c>
      <c r="C111">
        <f t="shared" ca="1" si="11"/>
        <v>0.49</v>
      </c>
      <c r="D111">
        <f t="shared" ca="1" si="11"/>
        <v>-0.67</v>
      </c>
      <c r="E111">
        <f t="shared" ca="1" si="9"/>
        <v>2.06</v>
      </c>
      <c r="F111">
        <f t="shared" ca="1" si="10"/>
        <v>1</v>
      </c>
    </row>
    <row r="112" spans="1:6" x14ac:dyDescent="0.25">
      <c r="A112">
        <v>65</v>
      </c>
      <c r="B112">
        <f t="shared" ca="1" si="11"/>
        <v>-0.03</v>
      </c>
      <c r="C112">
        <f t="shared" ca="1" si="11"/>
        <v>0.34</v>
      </c>
      <c r="D112">
        <f t="shared" ca="1" si="11"/>
        <v>1.27</v>
      </c>
      <c r="E112">
        <f t="shared" ca="1" si="9"/>
        <v>-0.58000000000000007</v>
      </c>
      <c r="F112">
        <f t="shared" ca="1" si="10"/>
        <v>1</v>
      </c>
    </row>
    <row r="113" spans="1:6" x14ac:dyDescent="0.25">
      <c r="A113">
        <v>66</v>
      </c>
      <c r="B113">
        <f t="shared" ref="B113:D144" ca="1" si="12">RANDBETWEEN(-150, 150)/100</f>
        <v>-1.18</v>
      </c>
      <c r="C113">
        <f t="shared" ca="1" si="12"/>
        <v>1.02</v>
      </c>
      <c r="D113">
        <f t="shared" ca="1" si="12"/>
        <v>-0.82</v>
      </c>
      <c r="E113">
        <f t="shared" ref="E113:E176" ca="1" si="13">1 -SUM(B113:D113)</f>
        <v>1.98</v>
      </c>
      <c r="F113">
        <f t="shared" ref="F113:F176" ca="1" si="14">SUM(B113:E113)</f>
        <v>1</v>
      </c>
    </row>
    <row r="114" spans="1:6" x14ac:dyDescent="0.25">
      <c r="A114">
        <v>67</v>
      </c>
      <c r="B114">
        <f t="shared" ca="1" si="12"/>
        <v>0.56999999999999995</v>
      </c>
      <c r="C114">
        <f t="shared" ca="1" si="12"/>
        <v>1.47</v>
      </c>
      <c r="D114">
        <f t="shared" ca="1" si="12"/>
        <v>1.1299999999999999</v>
      </c>
      <c r="E114">
        <f t="shared" ca="1" si="13"/>
        <v>-2.17</v>
      </c>
      <c r="F114">
        <f t="shared" ca="1" si="14"/>
        <v>1</v>
      </c>
    </row>
    <row r="115" spans="1:6" x14ac:dyDescent="0.25">
      <c r="A115">
        <v>68</v>
      </c>
      <c r="B115">
        <f t="shared" ca="1" si="12"/>
        <v>-0.52</v>
      </c>
      <c r="C115">
        <f t="shared" ca="1" si="12"/>
        <v>0.86</v>
      </c>
      <c r="D115">
        <f t="shared" ca="1" si="12"/>
        <v>0.86</v>
      </c>
      <c r="E115">
        <f t="shared" ca="1" si="13"/>
        <v>-0.19999999999999996</v>
      </c>
      <c r="F115">
        <f t="shared" ca="1" si="14"/>
        <v>1</v>
      </c>
    </row>
    <row r="116" spans="1:6" x14ac:dyDescent="0.25">
      <c r="A116">
        <v>69</v>
      </c>
      <c r="B116">
        <f t="shared" ca="1" si="12"/>
        <v>-0.66</v>
      </c>
      <c r="C116">
        <f t="shared" ca="1" si="12"/>
        <v>0.08</v>
      </c>
      <c r="D116">
        <f t="shared" ca="1" si="12"/>
        <v>0.21</v>
      </c>
      <c r="E116">
        <f t="shared" ca="1" si="13"/>
        <v>1.37</v>
      </c>
      <c r="F116">
        <f t="shared" ca="1" si="14"/>
        <v>1</v>
      </c>
    </row>
    <row r="117" spans="1:6" x14ac:dyDescent="0.25">
      <c r="A117">
        <v>70</v>
      </c>
      <c r="B117">
        <f t="shared" ca="1" si="12"/>
        <v>-0.41</v>
      </c>
      <c r="C117">
        <f t="shared" ca="1" si="12"/>
        <v>1.1499999999999999</v>
      </c>
      <c r="D117">
        <f t="shared" ca="1" si="12"/>
        <v>-0.37</v>
      </c>
      <c r="E117">
        <f t="shared" ca="1" si="13"/>
        <v>0.63</v>
      </c>
      <c r="F117">
        <f t="shared" ca="1" si="14"/>
        <v>1</v>
      </c>
    </row>
    <row r="118" spans="1:6" x14ac:dyDescent="0.25">
      <c r="A118">
        <v>71</v>
      </c>
      <c r="B118">
        <f t="shared" ca="1" si="12"/>
        <v>0.32</v>
      </c>
      <c r="C118">
        <f t="shared" ca="1" si="12"/>
        <v>-0.52</v>
      </c>
      <c r="D118">
        <f t="shared" ca="1" si="12"/>
        <v>0.92</v>
      </c>
      <c r="E118">
        <f t="shared" ca="1" si="13"/>
        <v>0.28000000000000003</v>
      </c>
      <c r="F118">
        <f t="shared" ca="1" si="14"/>
        <v>1</v>
      </c>
    </row>
    <row r="119" spans="1:6" x14ac:dyDescent="0.25">
      <c r="A119">
        <v>72</v>
      </c>
      <c r="B119">
        <f t="shared" ca="1" si="12"/>
        <v>1.23</v>
      </c>
      <c r="C119">
        <f t="shared" ca="1" si="12"/>
        <v>0.75</v>
      </c>
      <c r="D119">
        <f t="shared" ca="1" si="12"/>
        <v>-7.0000000000000007E-2</v>
      </c>
      <c r="E119">
        <f t="shared" ca="1" si="13"/>
        <v>-0.90999999999999992</v>
      </c>
      <c r="F119">
        <f t="shared" ca="1" si="14"/>
        <v>1</v>
      </c>
    </row>
    <row r="120" spans="1:6" x14ac:dyDescent="0.25">
      <c r="A120">
        <v>73</v>
      </c>
      <c r="B120">
        <f t="shared" ca="1" si="12"/>
        <v>1.33</v>
      </c>
      <c r="C120">
        <f t="shared" ca="1" si="12"/>
        <v>0.67</v>
      </c>
      <c r="D120">
        <f t="shared" ca="1" si="12"/>
        <v>-0.99</v>
      </c>
      <c r="E120">
        <f t="shared" ca="1" si="13"/>
        <v>-1.0000000000000009E-2</v>
      </c>
      <c r="F120">
        <f t="shared" ca="1" si="14"/>
        <v>1</v>
      </c>
    </row>
    <row r="121" spans="1:6" x14ac:dyDescent="0.25">
      <c r="A121">
        <v>74</v>
      </c>
      <c r="B121">
        <f t="shared" ca="1" si="12"/>
        <v>-0.96</v>
      </c>
      <c r="C121">
        <f t="shared" ca="1" si="12"/>
        <v>1.1399999999999999</v>
      </c>
      <c r="D121">
        <f t="shared" ca="1" si="12"/>
        <v>-0.67</v>
      </c>
      <c r="E121">
        <f t="shared" ca="1" si="13"/>
        <v>1.4900000000000002</v>
      </c>
      <c r="F121">
        <f t="shared" ca="1" si="14"/>
        <v>1</v>
      </c>
    </row>
    <row r="122" spans="1:6" x14ac:dyDescent="0.25">
      <c r="A122">
        <v>75</v>
      </c>
      <c r="B122">
        <f t="shared" ca="1" si="12"/>
        <v>1.31</v>
      </c>
      <c r="C122">
        <f t="shared" ca="1" si="12"/>
        <v>0.61</v>
      </c>
      <c r="D122">
        <f t="shared" ca="1" si="12"/>
        <v>-1.32</v>
      </c>
      <c r="E122">
        <f t="shared" ca="1" si="13"/>
        <v>0.40000000000000013</v>
      </c>
      <c r="F122">
        <f t="shared" ca="1" si="14"/>
        <v>1</v>
      </c>
    </row>
    <row r="123" spans="1:6" x14ac:dyDescent="0.25">
      <c r="A123">
        <v>76</v>
      </c>
      <c r="B123">
        <f t="shared" ca="1" si="12"/>
        <v>-1.03</v>
      </c>
      <c r="C123">
        <f t="shared" ca="1" si="12"/>
        <v>-0.19</v>
      </c>
      <c r="D123">
        <f t="shared" ca="1" si="12"/>
        <v>-1.48</v>
      </c>
      <c r="E123">
        <f t="shared" ca="1" si="13"/>
        <v>3.7</v>
      </c>
      <c r="F123">
        <f t="shared" ca="1" si="14"/>
        <v>1</v>
      </c>
    </row>
    <row r="124" spans="1:6" x14ac:dyDescent="0.25">
      <c r="A124">
        <v>77</v>
      </c>
      <c r="B124">
        <f t="shared" ca="1" si="12"/>
        <v>0.69</v>
      </c>
      <c r="C124">
        <f t="shared" ca="1" si="12"/>
        <v>0.65</v>
      </c>
      <c r="D124">
        <f t="shared" ca="1" si="12"/>
        <v>0.23</v>
      </c>
      <c r="E124">
        <f t="shared" ca="1" si="13"/>
        <v>-0.56999999999999984</v>
      </c>
      <c r="F124">
        <f t="shared" ca="1" si="14"/>
        <v>1</v>
      </c>
    </row>
    <row r="125" spans="1:6" x14ac:dyDescent="0.25">
      <c r="A125">
        <v>78</v>
      </c>
      <c r="B125">
        <f t="shared" ca="1" si="12"/>
        <v>0.55000000000000004</v>
      </c>
      <c r="C125">
        <f t="shared" ca="1" si="12"/>
        <v>-0.7</v>
      </c>
      <c r="D125">
        <f t="shared" ca="1" si="12"/>
        <v>-0.83</v>
      </c>
      <c r="E125">
        <f t="shared" ca="1" si="13"/>
        <v>1.98</v>
      </c>
      <c r="F125">
        <f t="shared" ca="1" si="14"/>
        <v>1</v>
      </c>
    </row>
    <row r="126" spans="1:6" x14ac:dyDescent="0.25">
      <c r="A126">
        <v>79</v>
      </c>
      <c r="B126">
        <f t="shared" ca="1" si="12"/>
        <v>-0.56999999999999995</v>
      </c>
      <c r="C126">
        <f t="shared" ca="1" si="12"/>
        <v>1.17</v>
      </c>
      <c r="D126">
        <f t="shared" ca="1" si="12"/>
        <v>0.54</v>
      </c>
      <c r="E126">
        <f t="shared" ca="1" si="13"/>
        <v>-0.14000000000000012</v>
      </c>
      <c r="F126">
        <f t="shared" ca="1" si="14"/>
        <v>1</v>
      </c>
    </row>
    <row r="127" spans="1:6" x14ac:dyDescent="0.25">
      <c r="A127">
        <v>80</v>
      </c>
      <c r="B127">
        <f t="shared" ca="1" si="12"/>
        <v>-0.19</v>
      </c>
      <c r="C127">
        <f t="shared" ca="1" si="12"/>
        <v>-0.44</v>
      </c>
      <c r="D127">
        <f t="shared" ca="1" si="12"/>
        <v>0.9</v>
      </c>
      <c r="E127">
        <f t="shared" ca="1" si="13"/>
        <v>0.73</v>
      </c>
      <c r="F127">
        <f t="shared" ca="1" si="14"/>
        <v>1</v>
      </c>
    </row>
    <row r="128" spans="1:6" x14ac:dyDescent="0.25">
      <c r="A128">
        <v>81</v>
      </c>
      <c r="B128">
        <f t="shared" ca="1" si="12"/>
        <v>-0.69</v>
      </c>
      <c r="C128">
        <f t="shared" ca="1" si="12"/>
        <v>0.43</v>
      </c>
      <c r="D128">
        <f t="shared" ca="1" si="12"/>
        <v>-0.62</v>
      </c>
      <c r="E128">
        <f t="shared" ca="1" si="13"/>
        <v>1.88</v>
      </c>
      <c r="F128">
        <f t="shared" ca="1" si="14"/>
        <v>1</v>
      </c>
    </row>
    <row r="129" spans="1:6" x14ac:dyDescent="0.25">
      <c r="A129">
        <v>82</v>
      </c>
      <c r="B129">
        <f t="shared" ca="1" si="12"/>
        <v>-1.27</v>
      </c>
      <c r="C129">
        <f t="shared" ca="1" si="12"/>
        <v>-0.04</v>
      </c>
      <c r="D129">
        <f t="shared" ca="1" si="12"/>
        <v>-1.41</v>
      </c>
      <c r="E129">
        <f t="shared" ca="1" si="13"/>
        <v>3.7199999999999998</v>
      </c>
      <c r="F129">
        <f t="shared" ca="1" si="14"/>
        <v>1</v>
      </c>
    </row>
    <row r="130" spans="1:6" x14ac:dyDescent="0.25">
      <c r="A130">
        <v>83</v>
      </c>
      <c r="B130">
        <f t="shared" ca="1" si="12"/>
        <v>0.28999999999999998</v>
      </c>
      <c r="C130">
        <f t="shared" ca="1" si="12"/>
        <v>1.34</v>
      </c>
      <c r="D130">
        <f t="shared" ca="1" si="12"/>
        <v>1.03</v>
      </c>
      <c r="E130">
        <f t="shared" ca="1" si="13"/>
        <v>-1.6600000000000001</v>
      </c>
      <c r="F130">
        <f t="shared" ca="1" si="14"/>
        <v>1</v>
      </c>
    </row>
    <row r="131" spans="1:6" x14ac:dyDescent="0.25">
      <c r="A131">
        <v>84</v>
      </c>
      <c r="B131">
        <f t="shared" ca="1" si="12"/>
        <v>0.31</v>
      </c>
      <c r="C131">
        <f t="shared" ca="1" si="12"/>
        <v>-1.48</v>
      </c>
      <c r="D131">
        <f t="shared" ca="1" si="12"/>
        <v>0.23</v>
      </c>
      <c r="E131">
        <f t="shared" ca="1" si="13"/>
        <v>1.94</v>
      </c>
      <c r="F131">
        <f t="shared" ca="1" si="14"/>
        <v>1</v>
      </c>
    </row>
    <row r="132" spans="1:6" x14ac:dyDescent="0.25">
      <c r="A132">
        <v>85</v>
      </c>
      <c r="B132">
        <f t="shared" ca="1" si="12"/>
        <v>-1.32</v>
      </c>
      <c r="C132">
        <f t="shared" ca="1" si="12"/>
        <v>-0.93</v>
      </c>
      <c r="D132">
        <f t="shared" ca="1" si="12"/>
        <v>-0.3</v>
      </c>
      <c r="E132">
        <f t="shared" ca="1" si="13"/>
        <v>3.55</v>
      </c>
      <c r="F132">
        <f t="shared" ca="1" si="14"/>
        <v>1</v>
      </c>
    </row>
    <row r="133" spans="1:6" x14ac:dyDescent="0.25">
      <c r="A133">
        <v>86</v>
      </c>
      <c r="B133">
        <f t="shared" ca="1" si="12"/>
        <v>0.63</v>
      </c>
      <c r="C133">
        <f t="shared" ca="1" si="12"/>
        <v>0.98</v>
      </c>
      <c r="D133">
        <f t="shared" ca="1" si="12"/>
        <v>1.04</v>
      </c>
      <c r="E133">
        <f t="shared" ca="1" si="13"/>
        <v>-1.65</v>
      </c>
      <c r="F133">
        <f t="shared" ca="1" si="14"/>
        <v>1</v>
      </c>
    </row>
    <row r="134" spans="1:6" x14ac:dyDescent="0.25">
      <c r="A134">
        <v>87</v>
      </c>
      <c r="B134">
        <f t="shared" ca="1" si="12"/>
        <v>-0.35</v>
      </c>
      <c r="C134">
        <f t="shared" ca="1" si="12"/>
        <v>-0.01</v>
      </c>
      <c r="D134">
        <f t="shared" ca="1" si="12"/>
        <v>-0.69</v>
      </c>
      <c r="E134">
        <f t="shared" ca="1" si="13"/>
        <v>2.0499999999999998</v>
      </c>
      <c r="F134">
        <f t="shared" ca="1" si="14"/>
        <v>1</v>
      </c>
    </row>
    <row r="135" spans="1:6" x14ac:dyDescent="0.25">
      <c r="A135">
        <v>88</v>
      </c>
      <c r="B135">
        <f t="shared" ca="1" si="12"/>
        <v>0.68</v>
      </c>
      <c r="C135">
        <f t="shared" ca="1" si="12"/>
        <v>1.34</v>
      </c>
      <c r="D135">
        <f t="shared" ca="1" si="12"/>
        <v>-0.41</v>
      </c>
      <c r="E135">
        <f t="shared" ca="1" si="13"/>
        <v>-0.6100000000000001</v>
      </c>
      <c r="F135">
        <f t="shared" ca="1" si="14"/>
        <v>1</v>
      </c>
    </row>
    <row r="136" spans="1:6" x14ac:dyDescent="0.25">
      <c r="A136">
        <v>89</v>
      </c>
      <c r="B136">
        <f t="shared" ca="1" si="12"/>
        <v>1.08</v>
      </c>
      <c r="C136">
        <f t="shared" ca="1" si="12"/>
        <v>-0.78</v>
      </c>
      <c r="D136">
        <f t="shared" ca="1" si="12"/>
        <v>1.38</v>
      </c>
      <c r="E136">
        <f t="shared" ca="1" si="13"/>
        <v>-0.67999999999999994</v>
      </c>
      <c r="F136">
        <f t="shared" ca="1" si="14"/>
        <v>1</v>
      </c>
    </row>
    <row r="137" spans="1:6" x14ac:dyDescent="0.25">
      <c r="A137">
        <v>90</v>
      </c>
      <c r="B137">
        <f t="shared" ca="1" si="12"/>
        <v>0.73</v>
      </c>
      <c r="C137">
        <f t="shared" ca="1" si="12"/>
        <v>1.1599999999999999</v>
      </c>
      <c r="D137">
        <f t="shared" ca="1" si="12"/>
        <v>0.8</v>
      </c>
      <c r="E137">
        <f t="shared" ca="1" si="13"/>
        <v>-1.69</v>
      </c>
      <c r="F137">
        <f t="shared" ca="1" si="14"/>
        <v>1</v>
      </c>
    </row>
    <row r="138" spans="1:6" x14ac:dyDescent="0.25">
      <c r="A138">
        <v>91</v>
      </c>
      <c r="B138">
        <f t="shared" ca="1" si="12"/>
        <v>1.04</v>
      </c>
      <c r="C138">
        <f t="shared" ca="1" si="12"/>
        <v>0.75</v>
      </c>
      <c r="D138">
        <f t="shared" ca="1" si="12"/>
        <v>-0.92</v>
      </c>
      <c r="E138">
        <f t="shared" ca="1" si="13"/>
        <v>0.13</v>
      </c>
      <c r="F138">
        <f t="shared" ca="1" si="14"/>
        <v>1</v>
      </c>
    </row>
    <row r="139" spans="1:6" x14ac:dyDescent="0.25">
      <c r="A139">
        <v>92</v>
      </c>
      <c r="B139">
        <f t="shared" ca="1" si="12"/>
        <v>1.1399999999999999</v>
      </c>
      <c r="C139">
        <f t="shared" ca="1" si="12"/>
        <v>0.75</v>
      </c>
      <c r="D139">
        <f t="shared" ca="1" si="12"/>
        <v>1.24</v>
      </c>
      <c r="E139">
        <f t="shared" ca="1" si="13"/>
        <v>-2.13</v>
      </c>
      <c r="F139">
        <f t="shared" ca="1" si="14"/>
        <v>1</v>
      </c>
    </row>
    <row r="140" spans="1:6" x14ac:dyDescent="0.25">
      <c r="A140">
        <v>93</v>
      </c>
      <c r="B140">
        <f t="shared" ca="1" si="12"/>
        <v>0.44</v>
      </c>
      <c r="C140">
        <f t="shared" ca="1" si="12"/>
        <v>-0.94</v>
      </c>
      <c r="D140">
        <f t="shared" ca="1" si="12"/>
        <v>0.17</v>
      </c>
      <c r="E140">
        <f t="shared" ca="1" si="13"/>
        <v>1.33</v>
      </c>
      <c r="F140">
        <f t="shared" ca="1" si="14"/>
        <v>1</v>
      </c>
    </row>
    <row r="141" spans="1:6" x14ac:dyDescent="0.25">
      <c r="A141">
        <v>94</v>
      </c>
      <c r="B141">
        <f t="shared" ca="1" si="12"/>
        <v>-0.71</v>
      </c>
      <c r="C141">
        <f t="shared" ca="1" si="12"/>
        <v>-1.01</v>
      </c>
      <c r="D141">
        <f t="shared" ca="1" si="12"/>
        <v>-1.1200000000000001</v>
      </c>
      <c r="E141">
        <f t="shared" ca="1" si="13"/>
        <v>3.84</v>
      </c>
      <c r="F141">
        <f t="shared" ca="1" si="14"/>
        <v>1</v>
      </c>
    </row>
    <row r="142" spans="1:6" x14ac:dyDescent="0.25">
      <c r="A142">
        <v>95</v>
      </c>
      <c r="B142">
        <f t="shared" ca="1" si="12"/>
        <v>0.98</v>
      </c>
      <c r="C142">
        <f t="shared" ca="1" si="12"/>
        <v>0.28999999999999998</v>
      </c>
      <c r="D142">
        <f t="shared" ca="1" si="12"/>
        <v>-0.54</v>
      </c>
      <c r="E142">
        <f t="shared" ca="1" si="13"/>
        <v>0.27</v>
      </c>
      <c r="F142">
        <f t="shared" ca="1" si="14"/>
        <v>1</v>
      </c>
    </row>
    <row r="143" spans="1:6" x14ac:dyDescent="0.25">
      <c r="A143">
        <v>96</v>
      </c>
      <c r="B143">
        <f t="shared" ca="1" si="12"/>
        <v>-1.3</v>
      </c>
      <c r="C143">
        <f t="shared" ca="1" si="12"/>
        <v>-0.6</v>
      </c>
      <c r="D143">
        <f t="shared" ca="1" si="12"/>
        <v>1.03</v>
      </c>
      <c r="E143">
        <f t="shared" ca="1" si="13"/>
        <v>1.8699999999999999</v>
      </c>
      <c r="F143">
        <f t="shared" ca="1" si="14"/>
        <v>1</v>
      </c>
    </row>
    <row r="144" spans="1:6" x14ac:dyDescent="0.25">
      <c r="A144">
        <v>97</v>
      </c>
      <c r="B144">
        <f t="shared" ca="1" si="12"/>
        <v>-0.36</v>
      </c>
      <c r="C144">
        <f t="shared" ca="1" si="12"/>
        <v>0.9</v>
      </c>
      <c r="D144">
        <f t="shared" ca="1" si="12"/>
        <v>-0.12</v>
      </c>
      <c r="E144">
        <f t="shared" ca="1" si="13"/>
        <v>0.57999999999999996</v>
      </c>
      <c r="F144">
        <f t="shared" ca="1" si="14"/>
        <v>1</v>
      </c>
    </row>
    <row r="145" spans="1:6" x14ac:dyDescent="0.25">
      <c r="A145">
        <v>98</v>
      </c>
      <c r="B145">
        <f t="shared" ref="B145:D176" ca="1" si="15">RANDBETWEEN(-150, 150)/100</f>
        <v>0.01</v>
      </c>
      <c r="C145">
        <f t="shared" ca="1" si="15"/>
        <v>0.63</v>
      </c>
      <c r="D145">
        <f t="shared" ca="1" si="15"/>
        <v>-0.33</v>
      </c>
      <c r="E145">
        <f t="shared" ca="1" si="13"/>
        <v>0.69</v>
      </c>
      <c r="F145">
        <f t="shared" ca="1" si="14"/>
        <v>1</v>
      </c>
    </row>
    <row r="146" spans="1:6" x14ac:dyDescent="0.25">
      <c r="A146">
        <v>99</v>
      </c>
      <c r="B146">
        <f t="shared" ca="1" si="15"/>
        <v>-1.38</v>
      </c>
      <c r="C146">
        <f t="shared" ca="1" si="15"/>
        <v>-0.01</v>
      </c>
      <c r="D146">
        <f t="shared" ca="1" si="15"/>
        <v>0.48</v>
      </c>
      <c r="E146">
        <f t="shared" ca="1" si="13"/>
        <v>1.91</v>
      </c>
      <c r="F146">
        <f t="shared" ca="1" si="14"/>
        <v>1</v>
      </c>
    </row>
    <row r="147" spans="1:6" x14ac:dyDescent="0.25">
      <c r="A147">
        <v>100</v>
      </c>
      <c r="B147">
        <f t="shared" ca="1" si="15"/>
        <v>-1.35</v>
      </c>
      <c r="C147">
        <f t="shared" ca="1" si="15"/>
        <v>0.75</v>
      </c>
      <c r="D147">
        <f t="shared" ca="1" si="15"/>
        <v>-0.21</v>
      </c>
      <c r="E147">
        <f t="shared" ca="1" si="13"/>
        <v>1.81</v>
      </c>
      <c r="F147">
        <f t="shared" ca="1" si="14"/>
        <v>1</v>
      </c>
    </row>
    <row r="148" spans="1:6" x14ac:dyDescent="0.25">
      <c r="A148">
        <v>101</v>
      </c>
      <c r="B148">
        <f t="shared" ca="1" si="15"/>
        <v>-1.46</v>
      </c>
      <c r="C148">
        <f t="shared" ca="1" si="15"/>
        <v>-0.89</v>
      </c>
      <c r="D148">
        <f t="shared" ca="1" si="15"/>
        <v>-1.36</v>
      </c>
      <c r="E148">
        <f t="shared" ca="1" si="13"/>
        <v>4.71</v>
      </c>
      <c r="F148">
        <f t="shared" ca="1" si="14"/>
        <v>1</v>
      </c>
    </row>
    <row r="149" spans="1:6" x14ac:dyDescent="0.25">
      <c r="A149">
        <v>102</v>
      </c>
      <c r="B149">
        <f t="shared" ca="1" si="15"/>
        <v>-0.26</v>
      </c>
      <c r="C149">
        <f t="shared" ca="1" si="15"/>
        <v>1.02</v>
      </c>
      <c r="D149">
        <f t="shared" ca="1" si="15"/>
        <v>0.01</v>
      </c>
      <c r="E149">
        <f t="shared" ca="1" si="13"/>
        <v>0.22999999999999998</v>
      </c>
      <c r="F149">
        <f t="shared" ca="1" si="14"/>
        <v>1</v>
      </c>
    </row>
    <row r="150" spans="1:6" x14ac:dyDescent="0.25">
      <c r="A150">
        <v>103</v>
      </c>
      <c r="B150">
        <f t="shared" ca="1" si="15"/>
        <v>0.99</v>
      </c>
      <c r="C150">
        <f t="shared" ca="1" si="15"/>
        <v>-1.25</v>
      </c>
      <c r="D150">
        <f t="shared" ca="1" si="15"/>
        <v>0.92</v>
      </c>
      <c r="E150">
        <f t="shared" ca="1" si="13"/>
        <v>0.33999999999999997</v>
      </c>
      <c r="F150">
        <f t="shared" ca="1" si="14"/>
        <v>1</v>
      </c>
    </row>
    <row r="151" spans="1:6" x14ac:dyDescent="0.25">
      <c r="A151">
        <v>104</v>
      </c>
      <c r="B151">
        <f t="shared" ca="1" si="15"/>
        <v>-0.11</v>
      </c>
      <c r="C151">
        <f t="shared" ca="1" si="15"/>
        <v>-0.22</v>
      </c>
      <c r="D151">
        <f t="shared" ca="1" si="15"/>
        <v>-0.35</v>
      </c>
      <c r="E151">
        <f t="shared" ca="1" si="13"/>
        <v>1.68</v>
      </c>
      <c r="F151">
        <f t="shared" ca="1" si="14"/>
        <v>1</v>
      </c>
    </row>
    <row r="152" spans="1:6" x14ac:dyDescent="0.25">
      <c r="A152">
        <v>105</v>
      </c>
      <c r="B152">
        <f t="shared" ca="1" si="15"/>
        <v>-1.37</v>
      </c>
      <c r="C152">
        <f t="shared" ca="1" si="15"/>
        <v>1.1100000000000001</v>
      </c>
      <c r="D152">
        <f t="shared" ca="1" si="15"/>
        <v>-1.27</v>
      </c>
      <c r="E152">
        <f t="shared" ca="1" si="13"/>
        <v>2.5300000000000002</v>
      </c>
      <c r="F152">
        <f t="shared" ca="1" si="14"/>
        <v>1.0000000000000002</v>
      </c>
    </row>
    <row r="153" spans="1:6" x14ac:dyDescent="0.25">
      <c r="A153">
        <v>106</v>
      </c>
      <c r="B153">
        <f t="shared" ca="1" si="15"/>
        <v>-0.94</v>
      </c>
      <c r="C153">
        <f t="shared" ca="1" si="15"/>
        <v>1.1599999999999999</v>
      </c>
      <c r="D153">
        <f t="shared" ca="1" si="15"/>
        <v>-0.2</v>
      </c>
      <c r="E153">
        <f t="shared" ca="1" si="13"/>
        <v>0.98</v>
      </c>
      <c r="F153">
        <f t="shared" ca="1" si="14"/>
        <v>1</v>
      </c>
    </row>
    <row r="154" spans="1:6" x14ac:dyDescent="0.25">
      <c r="A154">
        <v>107</v>
      </c>
      <c r="B154">
        <f t="shared" ca="1" si="15"/>
        <v>1.1299999999999999</v>
      </c>
      <c r="C154">
        <f t="shared" ca="1" si="15"/>
        <v>1.22</v>
      </c>
      <c r="D154">
        <f t="shared" ca="1" si="15"/>
        <v>-1</v>
      </c>
      <c r="E154">
        <f t="shared" ca="1" si="13"/>
        <v>-0.34999999999999964</v>
      </c>
      <c r="F154">
        <f t="shared" ca="1" si="14"/>
        <v>1</v>
      </c>
    </row>
    <row r="155" spans="1:6" x14ac:dyDescent="0.25">
      <c r="A155">
        <v>108</v>
      </c>
      <c r="B155">
        <f t="shared" ca="1" si="15"/>
        <v>-0.99</v>
      </c>
      <c r="C155">
        <f t="shared" ca="1" si="15"/>
        <v>0.54</v>
      </c>
      <c r="D155">
        <f t="shared" ca="1" si="15"/>
        <v>-0.61</v>
      </c>
      <c r="E155">
        <f t="shared" ca="1" si="13"/>
        <v>2.06</v>
      </c>
      <c r="F155">
        <f t="shared" ca="1" si="14"/>
        <v>1</v>
      </c>
    </row>
    <row r="156" spans="1:6" x14ac:dyDescent="0.25">
      <c r="A156">
        <v>109</v>
      </c>
      <c r="B156">
        <f t="shared" ca="1" si="15"/>
        <v>-0.84</v>
      </c>
      <c r="C156">
        <f t="shared" ca="1" si="15"/>
        <v>-0.61</v>
      </c>
      <c r="D156">
        <f t="shared" ca="1" si="15"/>
        <v>0.05</v>
      </c>
      <c r="E156">
        <f t="shared" ca="1" si="13"/>
        <v>2.4</v>
      </c>
      <c r="F156">
        <f t="shared" ca="1" si="14"/>
        <v>1</v>
      </c>
    </row>
    <row r="157" spans="1:6" x14ac:dyDescent="0.25">
      <c r="A157">
        <v>110</v>
      </c>
      <c r="B157">
        <f t="shared" ca="1" si="15"/>
        <v>-0.06</v>
      </c>
      <c r="C157">
        <f t="shared" ca="1" si="15"/>
        <v>-1.22</v>
      </c>
      <c r="D157">
        <f t="shared" ca="1" si="15"/>
        <v>0.06</v>
      </c>
      <c r="E157">
        <f t="shared" ca="1" si="13"/>
        <v>2.2199999999999998</v>
      </c>
      <c r="F157">
        <f t="shared" ca="1" si="14"/>
        <v>0.99999999999999978</v>
      </c>
    </row>
    <row r="158" spans="1:6" x14ac:dyDescent="0.25">
      <c r="A158">
        <v>111</v>
      </c>
      <c r="B158">
        <f t="shared" ca="1" si="15"/>
        <v>0.01</v>
      </c>
      <c r="C158">
        <f t="shared" ca="1" si="15"/>
        <v>-1.38</v>
      </c>
      <c r="D158">
        <f t="shared" ca="1" si="15"/>
        <v>1.4</v>
      </c>
      <c r="E158">
        <f t="shared" ca="1" si="13"/>
        <v>0.97</v>
      </c>
      <c r="F158">
        <f t="shared" ca="1" si="14"/>
        <v>1</v>
      </c>
    </row>
    <row r="159" spans="1:6" x14ac:dyDescent="0.25">
      <c r="A159">
        <v>112</v>
      </c>
      <c r="B159">
        <f t="shared" ca="1" si="15"/>
        <v>-0.89</v>
      </c>
      <c r="C159">
        <f t="shared" ca="1" si="15"/>
        <v>0.64</v>
      </c>
      <c r="D159">
        <f t="shared" ca="1" si="15"/>
        <v>0.65</v>
      </c>
      <c r="E159">
        <f t="shared" ca="1" si="13"/>
        <v>0.6</v>
      </c>
      <c r="F159">
        <f t="shared" ca="1" si="14"/>
        <v>1</v>
      </c>
    </row>
    <row r="160" spans="1:6" x14ac:dyDescent="0.25">
      <c r="A160">
        <v>113</v>
      </c>
      <c r="B160">
        <f t="shared" ca="1" si="15"/>
        <v>0.23</v>
      </c>
      <c r="C160">
        <f t="shared" ca="1" si="15"/>
        <v>-1.27</v>
      </c>
      <c r="D160">
        <f t="shared" ca="1" si="15"/>
        <v>-0.17</v>
      </c>
      <c r="E160">
        <f t="shared" ca="1" si="13"/>
        <v>2.21</v>
      </c>
      <c r="F160">
        <f t="shared" ca="1" si="14"/>
        <v>1</v>
      </c>
    </row>
    <row r="161" spans="1:6" x14ac:dyDescent="0.25">
      <c r="A161">
        <v>114</v>
      </c>
      <c r="B161">
        <f t="shared" ca="1" si="15"/>
        <v>-1.2</v>
      </c>
      <c r="C161">
        <f t="shared" ca="1" si="15"/>
        <v>-0.12</v>
      </c>
      <c r="D161">
        <f t="shared" ca="1" si="15"/>
        <v>-0.86</v>
      </c>
      <c r="E161">
        <f t="shared" ca="1" si="13"/>
        <v>3.1799999999999997</v>
      </c>
      <c r="F161">
        <f t="shared" ca="1" si="14"/>
        <v>1</v>
      </c>
    </row>
    <row r="162" spans="1:6" x14ac:dyDescent="0.25">
      <c r="A162">
        <v>115</v>
      </c>
      <c r="B162">
        <f t="shared" ca="1" si="15"/>
        <v>-0.28000000000000003</v>
      </c>
      <c r="C162">
        <f t="shared" ca="1" si="15"/>
        <v>-0.76</v>
      </c>
      <c r="D162">
        <f t="shared" ca="1" si="15"/>
        <v>-0.24</v>
      </c>
      <c r="E162">
        <f t="shared" ca="1" si="13"/>
        <v>2.2800000000000002</v>
      </c>
      <c r="F162">
        <f t="shared" ca="1" si="14"/>
        <v>1.0000000000000002</v>
      </c>
    </row>
    <row r="163" spans="1:6" x14ac:dyDescent="0.25">
      <c r="A163">
        <v>116</v>
      </c>
      <c r="B163">
        <f t="shared" ca="1" si="15"/>
        <v>0.35</v>
      </c>
      <c r="C163">
        <f t="shared" ca="1" si="15"/>
        <v>-1.1200000000000001</v>
      </c>
      <c r="D163">
        <f t="shared" ca="1" si="15"/>
        <v>-1.32</v>
      </c>
      <c r="E163">
        <f t="shared" ca="1" si="13"/>
        <v>3.0900000000000003</v>
      </c>
      <c r="F163">
        <f t="shared" ca="1" si="14"/>
        <v>1</v>
      </c>
    </row>
    <row r="164" spans="1:6" x14ac:dyDescent="0.25">
      <c r="A164">
        <v>117</v>
      </c>
      <c r="B164">
        <f t="shared" ca="1" si="15"/>
        <v>0.74</v>
      </c>
      <c r="C164">
        <f t="shared" ca="1" si="15"/>
        <v>1.31</v>
      </c>
      <c r="D164">
        <f t="shared" ca="1" si="15"/>
        <v>-0.84</v>
      </c>
      <c r="E164">
        <f t="shared" ca="1" si="13"/>
        <v>-0.20999999999999996</v>
      </c>
      <c r="F164">
        <f t="shared" ca="1" si="14"/>
        <v>1</v>
      </c>
    </row>
    <row r="165" spans="1:6" x14ac:dyDescent="0.25">
      <c r="A165">
        <v>118</v>
      </c>
      <c r="B165">
        <f t="shared" ca="1" si="15"/>
        <v>-0.03</v>
      </c>
      <c r="C165">
        <f t="shared" ca="1" si="15"/>
        <v>1.24</v>
      </c>
      <c r="D165">
        <f t="shared" ca="1" si="15"/>
        <v>0.28999999999999998</v>
      </c>
      <c r="E165">
        <f t="shared" ca="1" si="13"/>
        <v>-0.5</v>
      </c>
      <c r="F165">
        <f t="shared" ca="1" si="14"/>
        <v>1</v>
      </c>
    </row>
    <row r="166" spans="1:6" x14ac:dyDescent="0.25">
      <c r="A166">
        <v>119</v>
      </c>
      <c r="B166">
        <f t="shared" ca="1" si="15"/>
        <v>1.03</v>
      </c>
      <c r="C166">
        <f t="shared" ca="1" si="15"/>
        <v>-0.11</v>
      </c>
      <c r="D166">
        <f t="shared" ca="1" si="15"/>
        <v>-0.57999999999999996</v>
      </c>
      <c r="E166">
        <f t="shared" ca="1" si="13"/>
        <v>0.65999999999999992</v>
      </c>
      <c r="F166">
        <f t="shared" ca="1" si="14"/>
        <v>1</v>
      </c>
    </row>
    <row r="167" spans="1:6" x14ac:dyDescent="0.25">
      <c r="A167">
        <v>120</v>
      </c>
      <c r="B167">
        <f t="shared" ca="1" si="15"/>
        <v>1.2</v>
      </c>
      <c r="C167">
        <f t="shared" ca="1" si="15"/>
        <v>-0.37</v>
      </c>
      <c r="D167">
        <f t="shared" ca="1" si="15"/>
        <v>-0.51</v>
      </c>
      <c r="E167">
        <f t="shared" ca="1" si="13"/>
        <v>0.68</v>
      </c>
      <c r="F167">
        <f t="shared" ca="1" si="14"/>
        <v>1</v>
      </c>
    </row>
    <row r="168" spans="1:6" x14ac:dyDescent="0.25">
      <c r="A168">
        <v>121</v>
      </c>
      <c r="B168">
        <f t="shared" ca="1" si="15"/>
        <v>0.56999999999999995</v>
      </c>
      <c r="C168">
        <f t="shared" ca="1" si="15"/>
        <v>0.36</v>
      </c>
      <c r="D168">
        <f t="shared" ca="1" si="15"/>
        <v>1.08</v>
      </c>
      <c r="E168">
        <f t="shared" ca="1" si="13"/>
        <v>-1.0099999999999998</v>
      </c>
      <c r="F168">
        <f t="shared" ca="1" si="14"/>
        <v>1</v>
      </c>
    </row>
    <row r="169" spans="1:6" x14ac:dyDescent="0.25">
      <c r="A169">
        <v>122</v>
      </c>
      <c r="B169">
        <f t="shared" ca="1" si="15"/>
        <v>-1.42</v>
      </c>
      <c r="C169">
        <f t="shared" ca="1" si="15"/>
        <v>-0.28999999999999998</v>
      </c>
      <c r="D169">
        <f t="shared" ca="1" si="15"/>
        <v>0.28000000000000003</v>
      </c>
      <c r="E169">
        <f t="shared" ca="1" si="13"/>
        <v>2.4299999999999997</v>
      </c>
      <c r="F169">
        <f t="shared" ca="1" si="14"/>
        <v>0.99999999999999978</v>
      </c>
    </row>
    <row r="170" spans="1:6" x14ac:dyDescent="0.25">
      <c r="A170">
        <v>123</v>
      </c>
      <c r="B170">
        <f t="shared" ca="1" si="15"/>
        <v>-1.37</v>
      </c>
      <c r="C170">
        <f t="shared" ca="1" si="15"/>
        <v>-0.41</v>
      </c>
      <c r="D170">
        <f t="shared" ca="1" si="15"/>
        <v>-0.53</v>
      </c>
      <c r="E170">
        <f t="shared" ca="1" si="13"/>
        <v>3.31</v>
      </c>
      <c r="F170">
        <f t="shared" ca="1" si="14"/>
        <v>1</v>
      </c>
    </row>
    <row r="171" spans="1:6" x14ac:dyDescent="0.25">
      <c r="A171">
        <v>124</v>
      </c>
      <c r="B171">
        <f t="shared" ca="1" si="15"/>
        <v>-0.38</v>
      </c>
      <c r="C171">
        <f t="shared" ca="1" si="15"/>
        <v>0.09</v>
      </c>
      <c r="D171">
        <f t="shared" ca="1" si="15"/>
        <v>1.28</v>
      </c>
      <c r="E171">
        <f t="shared" ca="1" si="13"/>
        <v>1.0000000000000009E-2</v>
      </c>
      <c r="F171">
        <f t="shared" ca="1" si="14"/>
        <v>1</v>
      </c>
    </row>
    <row r="172" spans="1:6" x14ac:dyDescent="0.25">
      <c r="A172">
        <v>125</v>
      </c>
      <c r="B172">
        <f t="shared" ca="1" si="15"/>
        <v>0.39</v>
      </c>
      <c r="C172">
        <f t="shared" ca="1" si="15"/>
        <v>-0.64</v>
      </c>
      <c r="D172">
        <f t="shared" ca="1" si="15"/>
        <v>-0.27</v>
      </c>
      <c r="E172">
        <f t="shared" ca="1" si="13"/>
        <v>1.52</v>
      </c>
      <c r="F172">
        <f t="shared" ca="1" si="14"/>
        <v>1</v>
      </c>
    </row>
    <row r="173" spans="1:6" x14ac:dyDescent="0.25">
      <c r="A173">
        <v>126</v>
      </c>
      <c r="B173">
        <f t="shared" ca="1" si="15"/>
        <v>0.96</v>
      </c>
      <c r="C173">
        <f t="shared" ca="1" si="15"/>
        <v>-0.05</v>
      </c>
      <c r="D173">
        <f t="shared" ca="1" si="15"/>
        <v>0.78</v>
      </c>
      <c r="E173">
        <f t="shared" ca="1" si="13"/>
        <v>-0.69</v>
      </c>
      <c r="F173">
        <f t="shared" ca="1" si="14"/>
        <v>1</v>
      </c>
    </row>
    <row r="174" spans="1:6" x14ac:dyDescent="0.25">
      <c r="A174">
        <v>127</v>
      </c>
      <c r="B174">
        <f t="shared" ca="1" si="15"/>
        <v>-0.13</v>
      </c>
      <c r="C174">
        <f t="shared" ca="1" si="15"/>
        <v>-0.9</v>
      </c>
      <c r="D174">
        <f t="shared" ca="1" si="15"/>
        <v>0.11</v>
      </c>
      <c r="E174">
        <f t="shared" ca="1" si="13"/>
        <v>1.92</v>
      </c>
      <c r="F174">
        <f t="shared" ca="1" si="14"/>
        <v>0.99999999999999989</v>
      </c>
    </row>
    <row r="175" spans="1:6" x14ac:dyDescent="0.25">
      <c r="A175">
        <v>128</v>
      </c>
      <c r="B175">
        <f t="shared" ca="1" si="15"/>
        <v>1.5</v>
      </c>
      <c r="C175">
        <f t="shared" ca="1" si="15"/>
        <v>-0.05</v>
      </c>
      <c r="D175">
        <f t="shared" ca="1" si="15"/>
        <v>0.04</v>
      </c>
      <c r="E175">
        <f t="shared" ca="1" si="13"/>
        <v>-0.49</v>
      </c>
      <c r="F175">
        <f t="shared" ca="1" si="14"/>
        <v>1</v>
      </c>
    </row>
    <row r="176" spans="1:6" x14ac:dyDescent="0.25">
      <c r="A176">
        <v>129</v>
      </c>
      <c r="B176">
        <f t="shared" ca="1" si="15"/>
        <v>0.54</v>
      </c>
      <c r="C176">
        <f t="shared" ca="1" si="15"/>
        <v>-0.61</v>
      </c>
      <c r="D176">
        <f t="shared" ca="1" si="15"/>
        <v>1.23</v>
      </c>
      <c r="E176">
        <f t="shared" ca="1" si="13"/>
        <v>-0.16000000000000014</v>
      </c>
      <c r="F176">
        <f t="shared" ca="1" si="14"/>
        <v>1</v>
      </c>
    </row>
    <row r="177" spans="1:6" x14ac:dyDescent="0.25">
      <c r="A177">
        <v>130</v>
      </c>
      <c r="B177">
        <f t="shared" ref="B177:D212" ca="1" si="16">RANDBETWEEN(-150, 150)/100</f>
        <v>0.7</v>
      </c>
      <c r="C177">
        <f t="shared" ca="1" si="16"/>
        <v>1.04</v>
      </c>
      <c r="D177">
        <f t="shared" ca="1" si="16"/>
        <v>1.35</v>
      </c>
      <c r="E177">
        <f t="shared" ref="E177:E211" ca="1" si="17">1 -SUM(B177:D177)</f>
        <v>-2.09</v>
      </c>
      <c r="F177">
        <f t="shared" ref="F177:F240" ca="1" si="18">SUM(B177:E177)</f>
        <v>1</v>
      </c>
    </row>
    <row r="178" spans="1:6" x14ac:dyDescent="0.25">
      <c r="A178">
        <v>131</v>
      </c>
      <c r="B178">
        <f t="shared" ca="1" si="16"/>
        <v>-0.47</v>
      </c>
      <c r="C178">
        <f t="shared" ca="1" si="16"/>
        <v>0.14000000000000001</v>
      </c>
      <c r="D178">
        <f t="shared" ca="1" si="16"/>
        <v>1</v>
      </c>
      <c r="E178">
        <f t="shared" ca="1" si="17"/>
        <v>0.32999999999999996</v>
      </c>
      <c r="F178">
        <f t="shared" ca="1" si="18"/>
        <v>1</v>
      </c>
    </row>
    <row r="179" spans="1:6" x14ac:dyDescent="0.25">
      <c r="A179">
        <v>132</v>
      </c>
      <c r="B179">
        <f t="shared" ca="1" si="16"/>
        <v>-0.32</v>
      </c>
      <c r="C179">
        <f t="shared" ca="1" si="16"/>
        <v>-0.28000000000000003</v>
      </c>
      <c r="D179">
        <f t="shared" ca="1" si="16"/>
        <v>0.5</v>
      </c>
      <c r="E179">
        <f t="shared" ca="1" si="17"/>
        <v>1.1000000000000001</v>
      </c>
      <c r="F179">
        <f t="shared" ca="1" si="18"/>
        <v>1</v>
      </c>
    </row>
    <row r="180" spans="1:6" x14ac:dyDescent="0.25">
      <c r="A180">
        <v>133</v>
      </c>
      <c r="B180">
        <f t="shared" ca="1" si="16"/>
        <v>0.57999999999999996</v>
      </c>
      <c r="C180">
        <f t="shared" ca="1" si="16"/>
        <v>1.39</v>
      </c>
      <c r="D180">
        <f t="shared" ca="1" si="16"/>
        <v>0.87</v>
      </c>
      <c r="E180">
        <f t="shared" ca="1" si="17"/>
        <v>-1.8399999999999999</v>
      </c>
      <c r="F180">
        <f t="shared" ca="1" si="18"/>
        <v>1</v>
      </c>
    </row>
    <row r="181" spans="1:6" x14ac:dyDescent="0.25">
      <c r="A181">
        <v>134</v>
      </c>
      <c r="B181">
        <f t="shared" ca="1" si="16"/>
        <v>-0.72</v>
      </c>
      <c r="C181">
        <f t="shared" ca="1" si="16"/>
        <v>-0.89</v>
      </c>
      <c r="D181">
        <f t="shared" ca="1" si="16"/>
        <v>-0.84</v>
      </c>
      <c r="E181">
        <f t="shared" ca="1" si="17"/>
        <v>3.4499999999999997</v>
      </c>
      <c r="F181">
        <f t="shared" ca="1" si="18"/>
        <v>1</v>
      </c>
    </row>
    <row r="182" spans="1:6" x14ac:dyDescent="0.25">
      <c r="A182">
        <v>135</v>
      </c>
      <c r="B182">
        <f t="shared" ca="1" si="16"/>
        <v>-0.68</v>
      </c>
      <c r="C182">
        <f t="shared" ca="1" si="16"/>
        <v>-1</v>
      </c>
      <c r="D182">
        <f t="shared" ca="1" si="16"/>
        <v>0.44</v>
      </c>
      <c r="E182">
        <f t="shared" ca="1" si="17"/>
        <v>2.2400000000000002</v>
      </c>
      <c r="F182">
        <f t="shared" ca="1" si="18"/>
        <v>1</v>
      </c>
    </row>
    <row r="183" spans="1:6" x14ac:dyDescent="0.25">
      <c r="A183">
        <v>136</v>
      </c>
      <c r="B183">
        <f t="shared" ca="1" si="16"/>
        <v>-0.69</v>
      </c>
      <c r="C183">
        <f t="shared" ca="1" si="16"/>
        <v>-0.98</v>
      </c>
      <c r="D183">
        <f t="shared" ca="1" si="16"/>
        <v>7.0000000000000007E-2</v>
      </c>
      <c r="E183">
        <f t="shared" ca="1" si="17"/>
        <v>2.5999999999999996</v>
      </c>
      <c r="F183">
        <f t="shared" ca="1" si="18"/>
        <v>0.99999999999999978</v>
      </c>
    </row>
    <row r="184" spans="1:6" x14ac:dyDescent="0.25">
      <c r="A184">
        <v>137</v>
      </c>
      <c r="B184">
        <f t="shared" ca="1" si="16"/>
        <v>0.22</v>
      </c>
      <c r="C184">
        <f t="shared" ca="1" si="16"/>
        <v>-0.05</v>
      </c>
      <c r="D184">
        <f t="shared" ca="1" si="16"/>
        <v>-1.05</v>
      </c>
      <c r="E184">
        <f t="shared" ca="1" si="17"/>
        <v>1.8800000000000001</v>
      </c>
      <c r="F184">
        <f t="shared" ca="1" si="18"/>
        <v>1</v>
      </c>
    </row>
    <row r="185" spans="1:6" x14ac:dyDescent="0.25">
      <c r="A185">
        <v>138</v>
      </c>
      <c r="B185">
        <f t="shared" ca="1" si="16"/>
        <v>-1.33</v>
      </c>
      <c r="C185">
        <f t="shared" ca="1" si="16"/>
        <v>-0.39</v>
      </c>
      <c r="D185">
        <f t="shared" ca="1" si="16"/>
        <v>-1.29</v>
      </c>
      <c r="E185">
        <f t="shared" ca="1" si="17"/>
        <v>4.01</v>
      </c>
      <c r="F185">
        <f t="shared" ca="1" si="18"/>
        <v>0.99999999999999956</v>
      </c>
    </row>
    <row r="186" spans="1:6" x14ac:dyDescent="0.25">
      <c r="A186">
        <v>139</v>
      </c>
      <c r="B186">
        <f t="shared" ca="1" si="16"/>
        <v>-0.57999999999999996</v>
      </c>
      <c r="C186">
        <f t="shared" ca="1" si="16"/>
        <v>-7.0000000000000007E-2</v>
      </c>
      <c r="D186">
        <f t="shared" ca="1" si="16"/>
        <v>0.18</v>
      </c>
      <c r="E186">
        <f t="shared" ca="1" si="17"/>
        <v>1.47</v>
      </c>
      <c r="F186">
        <f t="shared" ca="1" si="18"/>
        <v>1</v>
      </c>
    </row>
    <row r="187" spans="1:6" x14ac:dyDescent="0.25">
      <c r="A187">
        <v>140</v>
      </c>
      <c r="B187">
        <f t="shared" ca="1" si="16"/>
        <v>0.7</v>
      </c>
      <c r="C187">
        <f t="shared" ca="1" si="16"/>
        <v>-0.35</v>
      </c>
      <c r="D187">
        <f t="shared" ca="1" si="16"/>
        <v>-0.56000000000000005</v>
      </c>
      <c r="E187">
        <f t="shared" ca="1" si="17"/>
        <v>1.21</v>
      </c>
      <c r="F187">
        <f t="shared" ca="1" si="18"/>
        <v>0.99999999999999989</v>
      </c>
    </row>
    <row r="188" spans="1:6" x14ac:dyDescent="0.25">
      <c r="A188">
        <v>141</v>
      </c>
      <c r="B188">
        <f t="shared" ca="1" si="16"/>
        <v>-0.78</v>
      </c>
      <c r="C188">
        <f t="shared" ca="1" si="16"/>
        <v>1.2</v>
      </c>
      <c r="D188">
        <f t="shared" ca="1" si="16"/>
        <v>-1.35</v>
      </c>
      <c r="E188">
        <f t="shared" ca="1" si="17"/>
        <v>1.9300000000000002</v>
      </c>
      <c r="F188">
        <f t="shared" ca="1" si="18"/>
        <v>1</v>
      </c>
    </row>
    <row r="189" spans="1:6" x14ac:dyDescent="0.25">
      <c r="A189">
        <v>142</v>
      </c>
      <c r="B189">
        <f t="shared" ca="1" si="16"/>
        <v>-0.37</v>
      </c>
      <c r="C189">
        <f t="shared" ca="1" si="16"/>
        <v>0.05</v>
      </c>
      <c r="D189">
        <f t="shared" ca="1" si="16"/>
        <v>0.61</v>
      </c>
      <c r="E189">
        <f t="shared" ca="1" si="17"/>
        <v>0.71</v>
      </c>
      <c r="F189">
        <f t="shared" ca="1" si="18"/>
        <v>1</v>
      </c>
    </row>
    <row r="190" spans="1:6" x14ac:dyDescent="0.25">
      <c r="A190">
        <v>143</v>
      </c>
      <c r="B190">
        <f t="shared" ca="1" si="16"/>
        <v>1.25</v>
      </c>
      <c r="C190">
        <f t="shared" ca="1" si="16"/>
        <v>-0.16</v>
      </c>
      <c r="D190">
        <f t="shared" ca="1" si="16"/>
        <v>0.24</v>
      </c>
      <c r="E190">
        <f t="shared" ca="1" si="17"/>
        <v>-0.33000000000000007</v>
      </c>
      <c r="F190">
        <f t="shared" ca="1" si="18"/>
        <v>1</v>
      </c>
    </row>
    <row r="191" spans="1:6" x14ac:dyDescent="0.25">
      <c r="A191">
        <v>144</v>
      </c>
      <c r="B191">
        <f t="shared" ca="1" si="16"/>
        <v>-1.41</v>
      </c>
      <c r="C191">
        <f t="shared" ca="1" si="16"/>
        <v>1.17</v>
      </c>
      <c r="D191">
        <f t="shared" ca="1" si="16"/>
        <v>0.08</v>
      </c>
      <c r="E191">
        <f t="shared" ca="1" si="17"/>
        <v>1.1599999999999999</v>
      </c>
      <c r="F191">
        <f t="shared" ca="1" si="18"/>
        <v>1</v>
      </c>
    </row>
    <row r="192" spans="1:6" x14ac:dyDescent="0.25">
      <c r="A192">
        <v>145</v>
      </c>
      <c r="B192">
        <f t="shared" ca="1" si="16"/>
        <v>1.1499999999999999</v>
      </c>
      <c r="C192">
        <f t="shared" ca="1" si="16"/>
        <v>1.29</v>
      </c>
      <c r="D192">
        <f t="shared" ca="1" si="16"/>
        <v>0.94</v>
      </c>
      <c r="E192">
        <f t="shared" ca="1" si="17"/>
        <v>-2.38</v>
      </c>
      <c r="F192">
        <f t="shared" ca="1" si="18"/>
        <v>1</v>
      </c>
    </row>
    <row r="193" spans="1:6" x14ac:dyDescent="0.25">
      <c r="A193">
        <v>146</v>
      </c>
      <c r="B193">
        <f t="shared" ca="1" si="16"/>
        <v>0.56999999999999995</v>
      </c>
      <c r="C193">
        <f t="shared" ca="1" si="16"/>
        <v>-0.79</v>
      </c>
      <c r="D193">
        <f t="shared" ca="1" si="16"/>
        <v>-0.66</v>
      </c>
      <c r="E193">
        <f t="shared" ca="1" si="17"/>
        <v>1.8800000000000001</v>
      </c>
      <c r="F193">
        <f t="shared" ca="1" si="18"/>
        <v>1</v>
      </c>
    </row>
    <row r="194" spans="1:6" x14ac:dyDescent="0.25">
      <c r="A194">
        <v>147</v>
      </c>
      <c r="B194">
        <f t="shared" ca="1" si="16"/>
        <v>0.56999999999999995</v>
      </c>
      <c r="C194">
        <f t="shared" ca="1" si="16"/>
        <v>1.05</v>
      </c>
      <c r="D194">
        <f t="shared" ca="1" si="16"/>
        <v>1.01</v>
      </c>
      <c r="E194">
        <f t="shared" ca="1" si="17"/>
        <v>-1.63</v>
      </c>
      <c r="F194">
        <f t="shared" ca="1" si="18"/>
        <v>1</v>
      </c>
    </row>
    <row r="195" spans="1:6" x14ac:dyDescent="0.25">
      <c r="A195">
        <v>148</v>
      </c>
      <c r="B195">
        <f t="shared" ca="1" si="16"/>
        <v>-1.17</v>
      </c>
      <c r="C195">
        <f t="shared" ca="1" si="16"/>
        <v>0.71</v>
      </c>
      <c r="D195">
        <f t="shared" ca="1" si="16"/>
        <v>0.79</v>
      </c>
      <c r="E195">
        <f t="shared" ca="1" si="17"/>
        <v>0.66999999999999993</v>
      </c>
      <c r="F195">
        <f t="shared" ca="1" si="18"/>
        <v>1</v>
      </c>
    </row>
    <row r="196" spans="1:6" x14ac:dyDescent="0.25">
      <c r="A196">
        <v>149</v>
      </c>
      <c r="B196">
        <f t="shared" ca="1" si="16"/>
        <v>0.61</v>
      </c>
      <c r="C196">
        <f t="shared" ca="1" si="16"/>
        <v>0.9</v>
      </c>
      <c r="D196">
        <f t="shared" ca="1" si="16"/>
        <v>-1.08</v>
      </c>
      <c r="E196">
        <f t="shared" ca="1" si="17"/>
        <v>0.57000000000000006</v>
      </c>
      <c r="F196">
        <f t="shared" ca="1" si="18"/>
        <v>1</v>
      </c>
    </row>
    <row r="197" spans="1:6" x14ac:dyDescent="0.25">
      <c r="A197">
        <v>150</v>
      </c>
      <c r="B197">
        <f t="shared" ca="1" si="16"/>
        <v>0.67</v>
      </c>
      <c r="C197">
        <f t="shared" ca="1" si="16"/>
        <v>-0.91</v>
      </c>
      <c r="D197">
        <f t="shared" ca="1" si="16"/>
        <v>1.28</v>
      </c>
      <c r="E197">
        <f t="shared" ca="1" si="17"/>
        <v>-4.0000000000000036E-2</v>
      </c>
      <c r="F197">
        <f t="shared" ca="1" si="18"/>
        <v>1</v>
      </c>
    </row>
    <row r="198" spans="1:6" x14ac:dyDescent="0.25">
      <c r="A198">
        <v>151</v>
      </c>
      <c r="B198">
        <f t="shared" ca="1" si="16"/>
        <v>0.92</v>
      </c>
      <c r="C198">
        <f t="shared" ca="1" si="16"/>
        <v>-0.55000000000000004</v>
      </c>
      <c r="D198">
        <f t="shared" ca="1" si="16"/>
        <v>-0.24</v>
      </c>
      <c r="E198">
        <f t="shared" ca="1" si="17"/>
        <v>0.87</v>
      </c>
      <c r="F198">
        <f t="shared" ca="1" si="18"/>
        <v>1</v>
      </c>
    </row>
    <row r="199" spans="1:6" x14ac:dyDescent="0.25">
      <c r="A199">
        <v>152</v>
      </c>
      <c r="B199">
        <f t="shared" ca="1" si="16"/>
        <v>1.05</v>
      </c>
      <c r="C199">
        <f t="shared" ca="1" si="16"/>
        <v>-0.69</v>
      </c>
      <c r="D199">
        <f t="shared" ca="1" si="16"/>
        <v>1.1399999999999999</v>
      </c>
      <c r="E199">
        <f t="shared" ca="1" si="17"/>
        <v>-0.5</v>
      </c>
      <c r="F199">
        <f t="shared" ca="1" si="18"/>
        <v>1</v>
      </c>
    </row>
    <row r="200" spans="1:6" x14ac:dyDescent="0.25">
      <c r="A200">
        <v>153</v>
      </c>
      <c r="B200">
        <f t="shared" ca="1" si="16"/>
        <v>-0.54</v>
      </c>
      <c r="C200">
        <f t="shared" ca="1" si="16"/>
        <v>-0.09</v>
      </c>
      <c r="D200">
        <f t="shared" ca="1" si="16"/>
        <v>1.3</v>
      </c>
      <c r="E200">
        <f t="shared" ca="1" si="17"/>
        <v>0.32999999999999996</v>
      </c>
      <c r="F200">
        <f t="shared" ca="1" si="18"/>
        <v>1</v>
      </c>
    </row>
    <row r="201" spans="1:6" x14ac:dyDescent="0.25">
      <c r="A201">
        <v>154</v>
      </c>
      <c r="B201">
        <f t="shared" ca="1" si="16"/>
        <v>0.18</v>
      </c>
      <c r="C201">
        <f t="shared" ca="1" si="16"/>
        <v>-0.03</v>
      </c>
      <c r="D201">
        <f t="shared" ca="1" si="16"/>
        <v>-0.67</v>
      </c>
      <c r="E201">
        <f t="shared" ca="1" si="17"/>
        <v>1.52</v>
      </c>
      <c r="F201">
        <f t="shared" ca="1" si="18"/>
        <v>1</v>
      </c>
    </row>
    <row r="202" spans="1:6" x14ac:dyDescent="0.25">
      <c r="A202">
        <v>155</v>
      </c>
      <c r="B202">
        <f t="shared" ca="1" si="16"/>
        <v>1.31</v>
      </c>
      <c r="C202">
        <f t="shared" ca="1" si="16"/>
        <v>-0.32</v>
      </c>
      <c r="D202">
        <f t="shared" ca="1" si="16"/>
        <v>-0.98</v>
      </c>
      <c r="E202">
        <f t="shared" ca="1" si="17"/>
        <v>0.99</v>
      </c>
      <c r="F202">
        <f t="shared" ca="1" si="18"/>
        <v>1</v>
      </c>
    </row>
    <row r="203" spans="1:6" x14ac:dyDescent="0.25">
      <c r="A203">
        <v>156</v>
      </c>
      <c r="B203">
        <f t="shared" ca="1" si="16"/>
        <v>-0.6</v>
      </c>
      <c r="C203">
        <f t="shared" ca="1" si="16"/>
        <v>-1.23</v>
      </c>
      <c r="D203">
        <f t="shared" ca="1" si="16"/>
        <v>1.33</v>
      </c>
      <c r="E203">
        <f t="shared" ca="1" si="17"/>
        <v>1.5</v>
      </c>
      <c r="F203">
        <f t="shared" ca="1" si="18"/>
        <v>1</v>
      </c>
    </row>
    <row r="204" spans="1:6" x14ac:dyDescent="0.25">
      <c r="A204">
        <v>157</v>
      </c>
      <c r="B204">
        <f t="shared" ca="1" si="16"/>
        <v>1.07</v>
      </c>
      <c r="C204">
        <f t="shared" ca="1" si="16"/>
        <v>-0.04</v>
      </c>
      <c r="D204">
        <f t="shared" ca="1" si="16"/>
        <v>-0.03</v>
      </c>
      <c r="E204">
        <f t="shared" ca="1" si="17"/>
        <v>0</v>
      </c>
      <c r="F204">
        <f t="shared" ca="1" si="18"/>
        <v>1</v>
      </c>
    </row>
    <row r="205" spans="1:6" x14ac:dyDescent="0.25">
      <c r="A205">
        <v>158</v>
      </c>
      <c r="B205">
        <f t="shared" ca="1" si="16"/>
        <v>-0.16</v>
      </c>
      <c r="C205">
        <f t="shared" ca="1" si="16"/>
        <v>-0.23</v>
      </c>
      <c r="D205">
        <f t="shared" ca="1" si="16"/>
        <v>-0.62</v>
      </c>
      <c r="E205">
        <f t="shared" ca="1" si="17"/>
        <v>2.0099999999999998</v>
      </c>
      <c r="F205">
        <f t="shared" ca="1" si="18"/>
        <v>0.99999999999999978</v>
      </c>
    </row>
    <row r="206" spans="1:6" x14ac:dyDescent="0.25">
      <c r="A206">
        <v>159</v>
      </c>
      <c r="B206">
        <f t="shared" ca="1" si="16"/>
        <v>-0.85</v>
      </c>
      <c r="C206">
        <f t="shared" ca="1" si="16"/>
        <v>-0.08</v>
      </c>
      <c r="D206">
        <f t="shared" ca="1" si="16"/>
        <v>1.21</v>
      </c>
      <c r="E206">
        <f t="shared" ca="1" si="17"/>
        <v>0.72</v>
      </c>
      <c r="F206">
        <f t="shared" ca="1" si="18"/>
        <v>1</v>
      </c>
    </row>
    <row r="207" spans="1:6" x14ac:dyDescent="0.25">
      <c r="A207">
        <v>160</v>
      </c>
      <c r="B207">
        <f t="shared" ca="1" si="16"/>
        <v>1.26</v>
      </c>
      <c r="C207">
        <f t="shared" ca="1" si="16"/>
        <v>-0.03</v>
      </c>
      <c r="D207">
        <f t="shared" ca="1" si="16"/>
        <v>0.77</v>
      </c>
      <c r="E207">
        <f t="shared" ca="1" si="17"/>
        <v>-1</v>
      </c>
      <c r="F207">
        <f t="shared" ca="1" si="18"/>
        <v>1</v>
      </c>
    </row>
    <row r="208" spans="1:6" x14ac:dyDescent="0.25">
      <c r="A208">
        <v>161</v>
      </c>
      <c r="B208">
        <f t="shared" ca="1" si="16"/>
        <v>-0.74</v>
      </c>
      <c r="C208">
        <f t="shared" ca="1" si="16"/>
        <v>1.1100000000000001</v>
      </c>
      <c r="D208">
        <f t="shared" ca="1" si="16"/>
        <v>-1.41</v>
      </c>
      <c r="E208">
        <f t="shared" ca="1" si="17"/>
        <v>2.04</v>
      </c>
      <c r="F208">
        <f t="shared" ca="1" si="18"/>
        <v>1.0000000000000002</v>
      </c>
    </row>
    <row r="209" spans="1:6" x14ac:dyDescent="0.25">
      <c r="A209">
        <v>162</v>
      </c>
      <c r="B209">
        <f t="shared" ca="1" si="16"/>
        <v>-7.0000000000000007E-2</v>
      </c>
      <c r="C209">
        <f t="shared" ca="1" si="16"/>
        <v>0.9</v>
      </c>
      <c r="D209">
        <f t="shared" ca="1" si="16"/>
        <v>-0.66</v>
      </c>
      <c r="E209">
        <f t="shared" ca="1" si="17"/>
        <v>0.83</v>
      </c>
      <c r="F209">
        <f t="shared" ca="1" si="18"/>
        <v>1</v>
      </c>
    </row>
    <row r="210" spans="1:6" x14ac:dyDescent="0.25">
      <c r="A210">
        <v>163</v>
      </c>
      <c r="B210">
        <f t="shared" ca="1" si="16"/>
        <v>0.28000000000000003</v>
      </c>
      <c r="C210">
        <f t="shared" ca="1" si="16"/>
        <v>1.29</v>
      </c>
      <c r="D210">
        <f t="shared" ca="1" si="16"/>
        <v>0.31</v>
      </c>
      <c r="E210">
        <f t="shared" ca="1" si="17"/>
        <v>-0.88000000000000012</v>
      </c>
      <c r="F210">
        <f t="shared" ca="1" si="18"/>
        <v>1</v>
      </c>
    </row>
    <row r="211" spans="1:6" x14ac:dyDescent="0.25">
      <c r="A211">
        <v>164</v>
      </c>
      <c r="B211">
        <f t="shared" ca="1" si="16"/>
        <v>-1.3</v>
      </c>
      <c r="C211">
        <f t="shared" ca="1" si="16"/>
        <v>1.24</v>
      </c>
      <c r="D211">
        <f t="shared" ca="1" si="16"/>
        <v>-1.29</v>
      </c>
      <c r="E211">
        <f t="shared" ca="1" si="17"/>
        <v>2.35</v>
      </c>
      <c r="F211">
        <f t="shared" ca="1" si="18"/>
        <v>1</v>
      </c>
    </row>
    <row r="212" spans="1:6" x14ac:dyDescent="0.25">
      <c r="A212">
        <v>165</v>
      </c>
      <c r="B212">
        <f t="shared" ca="1" si="16"/>
        <v>-1.47</v>
      </c>
      <c r="C212">
        <f t="shared" ca="1" si="16"/>
        <v>-1.45</v>
      </c>
      <c r="D212">
        <f t="shared" ca="1" si="16"/>
        <v>-1.25</v>
      </c>
      <c r="E212">
        <f t="shared" ref="E212:E246" ca="1" si="19">1 -SUM(B212:D212)</f>
        <v>5.17</v>
      </c>
      <c r="F212">
        <f t="shared" ca="1" si="18"/>
        <v>1</v>
      </c>
    </row>
    <row r="213" spans="1:6" x14ac:dyDescent="0.25">
      <c r="A213">
        <v>166</v>
      </c>
      <c r="B213">
        <f t="shared" ref="B213:D243" ca="1" si="20">RANDBETWEEN(-150, 150)/100</f>
        <v>-1.29</v>
      </c>
      <c r="C213">
        <f t="shared" ca="1" si="20"/>
        <v>0.71</v>
      </c>
      <c r="D213">
        <f t="shared" ca="1" si="20"/>
        <v>0.34</v>
      </c>
      <c r="E213">
        <f t="shared" ca="1" si="19"/>
        <v>1.24</v>
      </c>
      <c r="F213">
        <f t="shared" ca="1" si="18"/>
        <v>1</v>
      </c>
    </row>
    <row r="214" spans="1:6" x14ac:dyDescent="0.25">
      <c r="A214">
        <v>167</v>
      </c>
      <c r="B214">
        <f t="shared" ca="1" si="20"/>
        <v>-0.56999999999999995</v>
      </c>
      <c r="C214">
        <f t="shared" ca="1" si="20"/>
        <v>-1.26</v>
      </c>
      <c r="D214">
        <f t="shared" ca="1" si="20"/>
        <v>-0.87</v>
      </c>
      <c r="E214">
        <f t="shared" ca="1" si="19"/>
        <v>3.7</v>
      </c>
      <c r="F214">
        <f t="shared" ca="1" si="18"/>
        <v>1</v>
      </c>
    </row>
    <row r="215" spans="1:6" x14ac:dyDescent="0.25">
      <c r="A215">
        <v>168</v>
      </c>
      <c r="B215">
        <f t="shared" ca="1" si="20"/>
        <v>-1.25</v>
      </c>
      <c r="C215">
        <f t="shared" ca="1" si="20"/>
        <v>1.2</v>
      </c>
      <c r="D215">
        <f t="shared" ca="1" si="20"/>
        <v>0.35</v>
      </c>
      <c r="E215">
        <f t="shared" ca="1" si="19"/>
        <v>0.70000000000000007</v>
      </c>
      <c r="F215">
        <f t="shared" ca="1" si="18"/>
        <v>1</v>
      </c>
    </row>
    <row r="216" spans="1:6" x14ac:dyDescent="0.25">
      <c r="A216">
        <v>169</v>
      </c>
      <c r="B216">
        <f t="shared" ca="1" si="20"/>
        <v>0.97</v>
      </c>
      <c r="C216">
        <f t="shared" ca="1" si="20"/>
        <v>-0.73</v>
      </c>
      <c r="D216">
        <f t="shared" ca="1" si="20"/>
        <v>-0.18</v>
      </c>
      <c r="E216">
        <f t="shared" ca="1" si="19"/>
        <v>0.94</v>
      </c>
      <c r="F216">
        <f t="shared" ca="1" si="18"/>
        <v>1</v>
      </c>
    </row>
    <row r="217" spans="1:6" x14ac:dyDescent="0.25">
      <c r="A217">
        <v>170</v>
      </c>
      <c r="B217">
        <f t="shared" ca="1" si="20"/>
        <v>-0.55000000000000004</v>
      </c>
      <c r="C217">
        <f t="shared" ca="1" si="20"/>
        <v>0.42</v>
      </c>
      <c r="D217">
        <f t="shared" ca="1" si="20"/>
        <v>0.05</v>
      </c>
      <c r="E217">
        <f t="shared" ca="1" si="19"/>
        <v>1.08</v>
      </c>
      <c r="F217">
        <f t="shared" ca="1" si="18"/>
        <v>1</v>
      </c>
    </row>
    <row r="218" spans="1:6" x14ac:dyDescent="0.25">
      <c r="A218">
        <v>171</v>
      </c>
      <c r="B218">
        <f t="shared" ca="1" si="20"/>
        <v>0.94</v>
      </c>
      <c r="C218">
        <f t="shared" ca="1" si="20"/>
        <v>-0.91</v>
      </c>
      <c r="D218">
        <f t="shared" ca="1" si="20"/>
        <v>0.39</v>
      </c>
      <c r="E218">
        <f t="shared" ca="1" si="19"/>
        <v>0.58000000000000007</v>
      </c>
      <c r="F218">
        <f t="shared" ca="1" si="18"/>
        <v>1</v>
      </c>
    </row>
    <row r="219" spans="1:6" x14ac:dyDescent="0.25">
      <c r="A219">
        <v>172</v>
      </c>
      <c r="B219">
        <f t="shared" ca="1" si="20"/>
        <v>0.72</v>
      </c>
      <c r="C219">
        <f t="shared" ca="1" si="20"/>
        <v>0.78</v>
      </c>
      <c r="D219">
        <f t="shared" ca="1" si="20"/>
        <v>-1.25</v>
      </c>
      <c r="E219">
        <f t="shared" ca="1" si="19"/>
        <v>0.75</v>
      </c>
      <c r="F219">
        <f t="shared" ca="1" si="18"/>
        <v>1</v>
      </c>
    </row>
    <row r="220" spans="1:6" x14ac:dyDescent="0.25">
      <c r="A220">
        <v>173</v>
      </c>
      <c r="B220">
        <f t="shared" ca="1" si="20"/>
        <v>0.12</v>
      </c>
      <c r="C220">
        <f t="shared" ca="1" si="20"/>
        <v>0.32</v>
      </c>
      <c r="D220">
        <f t="shared" ca="1" si="20"/>
        <v>-1.39</v>
      </c>
      <c r="E220">
        <f t="shared" ca="1" si="19"/>
        <v>1.95</v>
      </c>
      <c r="F220">
        <f t="shared" ca="1" si="18"/>
        <v>1</v>
      </c>
    </row>
    <row r="221" spans="1:6" x14ac:dyDescent="0.25">
      <c r="A221">
        <v>174</v>
      </c>
      <c r="B221">
        <f t="shared" ca="1" si="20"/>
        <v>-0.08</v>
      </c>
      <c r="C221">
        <f t="shared" ca="1" si="20"/>
        <v>0.6</v>
      </c>
      <c r="D221">
        <f t="shared" ca="1" si="20"/>
        <v>-1.1399999999999999</v>
      </c>
      <c r="E221">
        <f t="shared" ca="1" si="19"/>
        <v>1.6199999999999999</v>
      </c>
      <c r="F221">
        <f t="shared" ca="1" si="18"/>
        <v>1</v>
      </c>
    </row>
    <row r="222" spans="1:6" x14ac:dyDescent="0.25">
      <c r="A222">
        <v>175</v>
      </c>
      <c r="B222">
        <f t="shared" ca="1" si="20"/>
        <v>1.24</v>
      </c>
      <c r="C222">
        <f t="shared" ca="1" si="20"/>
        <v>1.39</v>
      </c>
      <c r="D222">
        <f t="shared" ca="1" si="20"/>
        <v>-0.28000000000000003</v>
      </c>
      <c r="E222">
        <f t="shared" ca="1" si="19"/>
        <v>-1.3499999999999996</v>
      </c>
      <c r="F222">
        <f t="shared" ca="1" si="18"/>
        <v>1</v>
      </c>
    </row>
    <row r="223" spans="1:6" x14ac:dyDescent="0.25">
      <c r="A223">
        <v>176</v>
      </c>
      <c r="B223">
        <f t="shared" ca="1" si="20"/>
        <v>1.37</v>
      </c>
      <c r="C223">
        <f t="shared" ca="1" si="20"/>
        <v>-0.94</v>
      </c>
      <c r="D223">
        <f t="shared" ca="1" si="20"/>
        <v>-0.36</v>
      </c>
      <c r="E223">
        <f t="shared" ca="1" si="19"/>
        <v>0.92999999999999983</v>
      </c>
      <c r="F223">
        <f t="shared" ca="1" si="18"/>
        <v>1</v>
      </c>
    </row>
    <row r="224" spans="1:6" x14ac:dyDescent="0.25">
      <c r="A224">
        <v>177</v>
      </c>
      <c r="B224">
        <f t="shared" ca="1" si="20"/>
        <v>-0.4</v>
      </c>
      <c r="C224">
        <f t="shared" ca="1" si="20"/>
        <v>-0.01</v>
      </c>
      <c r="D224">
        <f t="shared" ca="1" si="20"/>
        <v>1.1200000000000001</v>
      </c>
      <c r="E224">
        <f t="shared" ca="1" si="19"/>
        <v>0.28999999999999992</v>
      </c>
      <c r="F224">
        <f t="shared" ca="1" si="18"/>
        <v>1</v>
      </c>
    </row>
    <row r="225" spans="1:6" x14ac:dyDescent="0.25">
      <c r="A225">
        <v>178</v>
      </c>
      <c r="B225">
        <f t="shared" ca="1" si="20"/>
        <v>-1.24</v>
      </c>
      <c r="C225">
        <f t="shared" ca="1" si="20"/>
        <v>-0.05</v>
      </c>
      <c r="D225">
        <f t="shared" ca="1" si="20"/>
        <v>0.54</v>
      </c>
      <c r="E225">
        <f t="shared" ca="1" si="19"/>
        <v>1.75</v>
      </c>
      <c r="F225">
        <f t="shared" ca="1" si="18"/>
        <v>1</v>
      </c>
    </row>
    <row r="226" spans="1:6" x14ac:dyDescent="0.25">
      <c r="A226">
        <v>179</v>
      </c>
      <c r="B226">
        <f t="shared" ca="1" si="20"/>
        <v>-0.98</v>
      </c>
      <c r="C226">
        <f t="shared" ca="1" si="20"/>
        <v>0.47</v>
      </c>
      <c r="D226">
        <f t="shared" ca="1" si="20"/>
        <v>-1.18</v>
      </c>
      <c r="E226">
        <f t="shared" ca="1" si="19"/>
        <v>2.69</v>
      </c>
      <c r="F226">
        <f t="shared" ca="1" si="18"/>
        <v>1</v>
      </c>
    </row>
    <row r="227" spans="1:6" x14ac:dyDescent="0.25">
      <c r="A227">
        <v>180</v>
      </c>
      <c r="B227">
        <f t="shared" ca="1" si="20"/>
        <v>0.94</v>
      </c>
      <c r="C227">
        <f t="shared" ca="1" si="20"/>
        <v>0.33</v>
      </c>
      <c r="D227">
        <f t="shared" ca="1" si="20"/>
        <v>1.37</v>
      </c>
      <c r="E227">
        <f t="shared" ca="1" si="19"/>
        <v>-1.6400000000000001</v>
      </c>
      <c r="F227">
        <f t="shared" ca="1" si="18"/>
        <v>1</v>
      </c>
    </row>
    <row r="228" spans="1:6" x14ac:dyDescent="0.25">
      <c r="A228">
        <v>181</v>
      </c>
      <c r="B228">
        <f t="shared" ca="1" si="20"/>
        <v>-1.1399999999999999</v>
      </c>
      <c r="C228">
        <f t="shared" ca="1" si="20"/>
        <v>0.02</v>
      </c>
      <c r="D228">
        <f t="shared" ca="1" si="20"/>
        <v>0.15</v>
      </c>
      <c r="E228">
        <f t="shared" ca="1" si="19"/>
        <v>1.9699999999999998</v>
      </c>
      <c r="F228">
        <f t="shared" ca="1" si="18"/>
        <v>0.99999999999999989</v>
      </c>
    </row>
    <row r="229" spans="1:6" x14ac:dyDescent="0.25">
      <c r="A229">
        <v>182</v>
      </c>
      <c r="B229">
        <f t="shared" ca="1" si="20"/>
        <v>0.91</v>
      </c>
      <c r="C229">
        <f t="shared" ca="1" si="20"/>
        <v>1.41</v>
      </c>
      <c r="D229">
        <f t="shared" ca="1" si="20"/>
        <v>-0.63</v>
      </c>
      <c r="E229">
        <f t="shared" ca="1" si="19"/>
        <v>-0.69</v>
      </c>
      <c r="F229">
        <f t="shared" ca="1" si="18"/>
        <v>1</v>
      </c>
    </row>
    <row r="230" spans="1:6" x14ac:dyDescent="0.25">
      <c r="A230">
        <v>183</v>
      </c>
      <c r="B230">
        <f t="shared" ca="1" si="20"/>
        <v>0.65</v>
      </c>
      <c r="C230">
        <f t="shared" ca="1" si="20"/>
        <v>0.74</v>
      </c>
      <c r="D230">
        <f t="shared" ca="1" si="20"/>
        <v>-1.39</v>
      </c>
      <c r="E230">
        <f t="shared" ca="1" si="19"/>
        <v>1</v>
      </c>
      <c r="F230">
        <f t="shared" ca="1" si="18"/>
        <v>1.0000000000000002</v>
      </c>
    </row>
    <row r="231" spans="1:6" x14ac:dyDescent="0.25">
      <c r="A231">
        <v>184</v>
      </c>
      <c r="B231">
        <f t="shared" ca="1" si="20"/>
        <v>0.38</v>
      </c>
      <c r="C231">
        <f t="shared" ca="1" si="20"/>
        <v>-1.1499999999999999</v>
      </c>
      <c r="D231">
        <f t="shared" ca="1" si="20"/>
        <v>0.28999999999999998</v>
      </c>
      <c r="E231">
        <f t="shared" ca="1" si="19"/>
        <v>1.48</v>
      </c>
      <c r="F231">
        <f t="shared" ca="1" si="18"/>
        <v>1</v>
      </c>
    </row>
    <row r="232" spans="1:6" x14ac:dyDescent="0.25">
      <c r="A232">
        <v>185</v>
      </c>
      <c r="B232">
        <f t="shared" ca="1" si="20"/>
        <v>0.33</v>
      </c>
      <c r="C232">
        <f t="shared" ca="1" si="20"/>
        <v>0.22</v>
      </c>
      <c r="D232">
        <f t="shared" ca="1" si="20"/>
        <v>0.12</v>
      </c>
      <c r="E232">
        <f t="shared" ca="1" si="19"/>
        <v>0.32999999999999996</v>
      </c>
      <c r="F232">
        <f t="shared" ca="1" si="18"/>
        <v>1</v>
      </c>
    </row>
    <row r="233" spans="1:6" x14ac:dyDescent="0.25">
      <c r="A233">
        <v>186</v>
      </c>
      <c r="B233">
        <f t="shared" ca="1" si="20"/>
        <v>-1.06</v>
      </c>
      <c r="C233">
        <f t="shared" ca="1" si="20"/>
        <v>-1.03</v>
      </c>
      <c r="D233">
        <f t="shared" ca="1" si="20"/>
        <v>-0.26</v>
      </c>
      <c r="E233">
        <f t="shared" ca="1" si="19"/>
        <v>3.3499999999999996</v>
      </c>
      <c r="F233">
        <f t="shared" ca="1" si="18"/>
        <v>1</v>
      </c>
    </row>
    <row r="234" spans="1:6" x14ac:dyDescent="0.25">
      <c r="A234">
        <v>187</v>
      </c>
      <c r="B234">
        <f t="shared" ca="1" si="20"/>
        <v>-1.03</v>
      </c>
      <c r="C234">
        <f t="shared" ca="1" si="20"/>
        <v>1.26</v>
      </c>
      <c r="D234">
        <f t="shared" ca="1" si="20"/>
        <v>-0.73</v>
      </c>
      <c r="E234">
        <f t="shared" ca="1" si="19"/>
        <v>1.5</v>
      </c>
      <c r="F234">
        <f t="shared" ca="1" si="18"/>
        <v>1</v>
      </c>
    </row>
    <row r="235" spans="1:6" x14ac:dyDescent="0.25">
      <c r="A235">
        <v>188</v>
      </c>
      <c r="B235">
        <f t="shared" ca="1" si="20"/>
        <v>-0.39</v>
      </c>
      <c r="C235">
        <f t="shared" ca="1" si="20"/>
        <v>-1.03</v>
      </c>
      <c r="D235">
        <f t="shared" ca="1" si="20"/>
        <v>-0.44</v>
      </c>
      <c r="E235">
        <f t="shared" ca="1" si="19"/>
        <v>2.86</v>
      </c>
      <c r="F235">
        <f t="shared" ca="1" si="18"/>
        <v>1</v>
      </c>
    </row>
    <row r="236" spans="1:6" x14ac:dyDescent="0.25">
      <c r="A236">
        <v>189</v>
      </c>
      <c r="B236">
        <f t="shared" ca="1" si="20"/>
        <v>-0.74</v>
      </c>
      <c r="C236">
        <f t="shared" ca="1" si="20"/>
        <v>-0.61</v>
      </c>
      <c r="D236">
        <f t="shared" ca="1" si="20"/>
        <v>0.19</v>
      </c>
      <c r="E236">
        <f t="shared" ca="1" si="19"/>
        <v>2.16</v>
      </c>
      <c r="F236">
        <f t="shared" ca="1" si="18"/>
        <v>1</v>
      </c>
    </row>
    <row r="237" spans="1:6" x14ac:dyDescent="0.25">
      <c r="A237">
        <v>190</v>
      </c>
      <c r="B237">
        <f t="shared" ca="1" si="20"/>
        <v>-1.01</v>
      </c>
      <c r="C237">
        <f t="shared" ca="1" si="20"/>
        <v>-0.88</v>
      </c>
      <c r="D237">
        <f t="shared" ca="1" si="20"/>
        <v>-0.16</v>
      </c>
      <c r="E237">
        <f t="shared" ca="1" si="19"/>
        <v>3.0500000000000003</v>
      </c>
      <c r="F237">
        <f t="shared" ca="1" si="18"/>
        <v>1</v>
      </c>
    </row>
    <row r="238" spans="1:6" x14ac:dyDescent="0.25">
      <c r="A238">
        <v>191</v>
      </c>
      <c r="B238">
        <f t="shared" ca="1" si="20"/>
        <v>-0.24</v>
      </c>
      <c r="C238">
        <f t="shared" ca="1" si="20"/>
        <v>-1.25</v>
      </c>
      <c r="D238">
        <f t="shared" ca="1" si="20"/>
        <v>-1.45</v>
      </c>
      <c r="E238">
        <f t="shared" ca="1" si="19"/>
        <v>3.94</v>
      </c>
      <c r="F238">
        <f t="shared" ca="1" si="18"/>
        <v>1</v>
      </c>
    </row>
    <row r="239" spans="1:6" x14ac:dyDescent="0.25">
      <c r="A239">
        <v>192</v>
      </c>
      <c r="B239">
        <f t="shared" ca="1" si="20"/>
        <v>-1.44</v>
      </c>
      <c r="C239">
        <f t="shared" ca="1" si="20"/>
        <v>0.89</v>
      </c>
      <c r="D239">
        <f t="shared" ca="1" si="20"/>
        <v>-1.23</v>
      </c>
      <c r="E239">
        <f t="shared" ca="1" si="19"/>
        <v>2.78</v>
      </c>
      <c r="F239">
        <f t="shared" ca="1" si="18"/>
        <v>1</v>
      </c>
    </row>
    <row r="240" spans="1:6" x14ac:dyDescent="0.25">
      <c r="A240">
        <v>193</v>
      </c>
      <c r="B240">
        <f t="shared" ca="1" si="20"/>
        <v>0.2</v>
      </c>
      <c r="C240">
        <f t="shared" ca="1" si="20"/>
        <v>-0.67</v>
      </c>
      <c r="D240">
        <f t="shared" ca="1" si="20"/>
        <v>-1.29</v>
      </c>
      <c r="E240">
        <f t="shared" ca="1" si="19"/>
        <v>2.76</v>
      </c>
      <c r="F240">
        <f t="shared" ca="1" si="18"/>
        <v>0.99999999999999978</v>
      </c>
    </row>
    <row r="241" spans="1:6" x14ac:dyDescent="0.25">
      <c r="A241">
        <v>194</v>
      </c>
      <c r="B241">
        <f t="shared" ca="1" si="20"/>
        <v>0.63</v>
      </c>
      <c r="C241">
        <f t="shared" ca="1" si="20"/>
        <v>-0.17</v>
      </c>
      <c r="D241">
        <f t="shared" ca="1" si="20"/>
        <v>-1.04</v>
      </c>
      <c r="E241">
        <f t="shared" ca="1" si="19"/>
        <v>1.58</v>
      </c>
      <c r="F241">
        <f t="shared" ref="F241:F254" ca="1" si="21">SUM(B241:E241)</f>
        <v>1</v>
      </c>
    </row>
    <row r="242" spans="1:6" x14ac:dyDescent="0.25">
      <c r="A242">
        <v>195</v>
      </c>
      <c r="B242">
        <f t="shared" ca="1" si="20"/>
        <v>-0.18</v>
      </c>
      <c r="C242">
        <f t="shared" ca="1" si="20"/>
        <v>-0.12</v>
      </c>
      <c r="D242">
        <f t="shared" ca="1" si="20"/>
        <v>-0.5</v>
      </c>
      <c r="E242">
        <f t="shared" ca="1" si="19"/>
        <v>1.8</v>
      </c>
      <c r="F242">
        <f t="shared" ca="1" si="21"/>
        <v>1</v>
      </c>
    </row>
    <row r="243" spans="1:6" x14ac:dyDescent="0.25">
      <c r="A243">
        <v>196</v>
      </c>
      <c r="B243">
        <f t="shared" ca="1" si="20"/>
        <v>-0.68</v>
      </c>
      <c r="C243">
        <f t="shared" ca="1" si="20"/>
        <v>1.24</v>
      </c>
      <c r="D243">
        <f t="shared" ca="1" si="20"/>
        <v>0.81</v>
      </c>
      <c r="E243">
        <f t="shared" ca="1" si="19"/>
        <v>-0.37000000000000011</v>
      </c>
      <c r="F243">
        <f t="shared" ca="1" si="21"/>
        <v>1</v>
      </c>
    </row>
    <row r="244" spans="1:6" x14ac:dyDescent="0.25">
      <c r="A244">
        <v>197</v>
      </c>
      <c r="B244">
        <f t="shared" ref="B244:D254" ca="1" si="22">RANDBETWEEN(-150, 150)/100</f>
        <v>-0.11</v>
      </c>
      <c r="C244">
        <f t="shared" ca="1" si="22"/>
        <v>-1.0900000000000001</v>
      </c>
      <c r="D244">
        <f t="shared" ca="1" si="22"/>
        <v>-0.36</v>
      </c>
      <c r="E244">
        <f t="shared" ca="1" si="19"/>
        <v>2.56</v>
      </c>
      <c r="F244">
        <f t="shared" ca="1" si="21"/>
        <v>1</v>
      </c>
    </row>
    <row r="245" spans="1:6" x14ac:dyDescent="0.25">
      <c r="A245">
        <v>198</v>
      </c>
      <c r="B245">
        <f t="shared" ca="1" si="22"/>
        <v>-1.38</v>
      </c>
      <c r="C245">
        <f t="shared" ca="1" si="22"/>
        <v>0.31</v>
      </c>
      <c r="D245">
        <f t="shared" ca="1" si="22"/>
        <v>-0.43</v>
      </c>
      <c r="E245">
        <f t="shared" ca="1" si="19"/>
        <v>2.5</v>
      </c>
      <c r="F245">
        <f t="shared" ca="1" si="21"/>
        <v>1.0000000000000002</v>
      </c>
    </row>
    <row r="246" spans="1:6" x14ac:dyDescent="0.25">
      <c r="A246">
        <v>199</v>
      </c>
      <c r="B246">
        <f t="shared" ca="1" si="22"/>
        <v>-1.1299999999999999</v>
      </c>
      <c r="C246">
        <f t="shared" ca="1" si="22"/>
        <v>0.37</v>
      </c>
      <c r="D246">
        <f t="shared" ca="1" si="22"/>
        <v>-1.1299999999999999</v>
      </c>
      <c r="E246">
        <f t="shared" ca="1" si="19"/>
        <v>2.8899999999999997</v>
      </c>
      <c r="F246">
        <f t="shared" ca="1" si="21"/>
        <v>1</v>
      </c>
    </row>
    <row r="247" spans="1:6" x14ac:dyDescent="0.25">
      <c r="A247">
        <v>200</v>
      </c>
      <c r="B247">
        <f t="shared" ca="1" si="22"/>
        <v>1.3</v>
      </c>
      <c r="C247">
        <f t="shared" ca="1" si="22"/>
        <v>-1.19</v>
      </c>
      <c r="D247">
        <f t="shared" ca="1" si="22"/>
        <v>0.56000000000000005</v>
      </c>
      <c r="E247">
        <f t="shared" ref="E247:E254" ca="1" si="23">1 -SUM(B247:D247)</f>
        <v>0.32999999999999985</v>
      </c>
      <c r="F247">
        <f t="shared" ca="1" si="21"/>
        <v>1</v>
      </c>
    </row>
    <row r="248" spans="1:6" x14ac:dyDescent="0.25">
      <c r="A248">
        <v>201</v>
      </c>
      <c r="B248">
        <f t="shared" ca="1" si="22"/>
        <v>-0.79</v>
      </c>
      <c r="C248">
        <f t="shared" ca="1" si="22"/>
        <v>-1.39</v>
      </c>
      <c r="D248">
        <f t="shared" ca="1" si="22"/>
        <v>0.57999999999999996</v>
      </c>
      <c r="E248">
        <f t="shared" ca="1" si="23"/>
        <v>2.5999999999999996</v>
      </c>
      <c r="F248">
        <f t="shared" ca="1" si="21"/>
        <v>1</v>
      </c>
    </row>
    <row r="249" spans="1:6" x14ac:dyDescent="0.25">
      <c r="A249">
        <v>202</v>
      </c>
      <c r="B249">
        <f t="shared" ca="1" si="22"/>
        <v>-0.48</v>
      </c>
      <c r="C249">
        <f t="shared" ca="1" si="22"/>
        <v>-0.37</v>
      </c>
      <c r="D249">
        <f t="shared" ca="1" si="22"/>
        <v>-1.22</v>
      </c>
      <c r="E249">
        <f t="shared" ca="1" si="23"/>
        <v>3.07</v>
      </c>
      <c r="F249">
        <f t="shared" ca="1" si="21"/>
        <v>1</v>
      </c>
    </row>
    <row r="250" spans="1:6" x14ac:dyDescent="0.25">
      <c r="A250">
        <v>203</v>
      </c>
      <c r="B250">
        <f t="shared" ca="1" si="22"/>
        <v>0.18</v>
      </c>
      <c r="C250">
        <f t="shared" ca="1" si="22"/>
        <v>0.81</v>
      </c>
      <c r="D250">
        <f t="shared" ca="1" si="22"/>
        <v>1.17</v>
      </c>
      <c r="E250">
        <f t="shared" ca="1" si="23"/>
        <v>-1.1600000000000001</v>
      </c>
      <c r="F250">
        <f t="shared" ca="1" si="21"/>
        <v>1</v>
      </c>
    </row>
    <row r="251" spans="1:6" x14ac:dyDescent="0.25">
      <c r="A251">
        <v>204</v>
      </c>
      <c r="B251">
        <f t="shared" ca="1" si="22"/>
        <v>-0.33</v>
      </c>
      <c r="C251">
        <f t="shared" ca="1" si="22"/>
        <v>-1.28</v>
      </c>
      <c r="D251">
        <f t="shared" ca="1" si="22"/>
        <v>-1.02</v>
      </c>
      <c r="E251">
        <f t="shared" ca="1" si="23"/>
        <v>3.63</v>
      </c>
      <c r="F251">
        <f t="shared" ca="1" si="21"/>
        <v>1</v>
      </c>
    </row>
    <row r="252" spans="1:6" x14ac:dyDescent="0.25">
      <c r="A252">
        <v>205</v>
      </c>
      <c r="B252">
        <f t="shared" ca="1" si="22"/>
        <v>-1.1200000000000001</v>
      </c>
      <c r="C252">
        <f t="shared" ca="1" si="22"/>
        <v>-0.46</v>
      </c>
      <c r="D252">
        <f t="shared" ca="1" si="22"/>
        <v>-0.27</v>
      </c>
      <c r="E252">
        <f t="shared" ca="1" si="23"/>
        <v>2.85</v>
      </c>
      <c r="F252">
        <f t="shared" ca="1" si="21"/>
        <v>1</v>
      </c>
    </row>
    <row r="253" spans="1:6" x14ac:dyDescent="0.25">
      <c r="A253">
        <v>206</v>
      </c>
      <c r="B253">
        <f t="shared" ca="1" si="22"/>
        <v>-0.04</v>
      </c>
      <c r="C253">
        <f t="shared" ca="1" si="22"/>
        <v>1.1399999999999999</v>
      </c>
      <c r="D253">
        <f t="shared" ca="1" si="22"/>
        <v>1</v>
      </c>
      <c r="E253">
        <f t="shared" ca="1" si="23"/>
        <v>-1.0999999999999996</v>
      </c>
      <c r="F253">
        <f t="shared" ca="1" si="21"/>
        <v>1</v>
      </c>
    </row>
    <row r="254" spans="1:6" x14ac:dyDescent="0.25">
      <c r="A254">
        <v>207</v>
      </c>
      <c r="B254">
        <f t="shared" ca="1" si="22"/>
        <v>-0.38</v>
      </c>
      <c r="C254">
        <f t="shared" ca="1" si="22"/>
        <v>-0.35</v>
      </c>
      <c r="D254">
        <f t="shared" ca="1" si="22"/>
        <v>1.4</v>
      </c>
      <c r="E254">
        <f t="shared" ca="1" si="23"/>
        <v>0.33000000000000007</v>
      </c>
      <c r="F254">
        <f t="shared" ca="1" si="21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3917F-81FE-41B5-A25E-795132D25D3F}">
  <dimension ref="A1:O52"/>
  <sheetViews>
    <sheetView tabSelected="1" zoomScaleNormal="100" workbookViewId="0">
      <selection activeCell="H18" sqref="H18"/>
    </sheetView>
  </sheetViews>
  <sheetFormatPr defaultColWidth="11.42578125" defaultRowHeight="15" x14ac:dyDescent="0.25"/>
  <sheetData>
    <row r="1" spans="1:15" ht="18.75" x14ac:dyDescent="0.3">
      <c r="A1" s="61" t="s">
        <v>106</v>
      </c>
    </row>
    <row r="3" spans="1:15" ht="16.5" thickBot="1" x14ac:dyDescent="0.3">
      <c r="A3" s="54" t="s">
        <v>1</v>
      </c>
      <c r="B3" s="54" t="s">
        <v>2</v>
      </c>
      <c r="C3" s="67" t="s">
        <v>3</v>
      </c>
      <c r="D3" s="68"/>
      <c r="E3" s="68"/>
      <c r="G3" s="21" t="s">
        <v>5</v>
      </c>
      <c r="I3" s="22" t="s">
        <v>4</v>
      </c>
      <c r="J3" s="27" t="s">
        <v>6</v>
      </c>
      <c r="K3" s="21" t="s">
        <v>7</v>
      </c>
      <c r="L3" s="30" t="s">
        <v>56</v>
      </c>
    </row>
    <row r="4" spans="1:15" ht="15.75" x14ac:dyDescent="0.25">
      <c r="A4" s="2">
        <v>1</v>
      </c>
      <c r="B4" s="3">
        <v>0.11</v>
      </c>
      <c r="C4" s="4">
        <v>0.08</v>
      </c>
      <c r="D4" s="5">
        <v>-0.03</v>
      </c>
      <c r="E4" s="5">
        <v>0.02</v>
      </c>
      <c r="F4" s="34">
        <f t="array" ref="F4:H6">MINVERSE(C4:E6)</f>
        <v>22.727272727272727</v>
      </c>
      <c r="G4" s="34">
        <v>18.18181818181818</v>
      </c>
      <c r="H4" s="34">
        <v>-13.636363636363635</v>
      </c>
      <c r="I4" s="20">
        <v>1</v>
      </c>
      <c r="J4" s="23">
        <f>SUM(F4:H4)</f>
        <v>27.272727272727273</v>
      </c>
      <c r="K4" s="24">
        <f t="array" ref="K4:K6">MMULT(F4:H6,B4:B6)</f>
        <v>3.545454545454545</v>
      </c>
      <c r="L4" s="20" t="s">
        <v>10</v>
      </c>
      <c r="M4">
        <f>SUM(J4:J6)</f>
        <v>172.72727272727275</v>
      </c>
      <c r="N4" s="20" t="s">
        <v>11</v>
      </c>
      <c r="O4">
        <f>M4/$M$7</f>
        <v>5.0131926121372059</v>
      </c>
    </row>
    <row r="5" spans="1:15" ht="15.75" x14ac:dyDescent="0.25">
      <c r="A5" s="2">
        <v>2</v>
      </c>
      <c r="B5" s="6">
        <v>0.08</v>
      </c>
      <c r="C5" s="7">
        <v>-0.03</v>
      </c>
      <c r="D5" s="8">
        <v>0.03</v>
      </c>
      <c r="E5" s="9">
        <v>-0.01</v>
      </c>
      <c r="F5" s="34">
        <v>18.18181818181818</v>
      </c>
      <c r="G5" s="34">
        <v>54.545454545454547</v>
      </c>
      <c r="H5" s="34">
        <v>9.0909090909090935</v>
      </c>
      <c r="I5" s="20">
        <v>1</v>
      </c>
      <c r="J5" s="23">
        <f t="shared" ref="J5:J6" si="0">SUM(F5:H5)</f>
        <v>81.818181818181813</v>
      </c>
      <c r="K5" s="24">
        <v>6.6363636363636367</v>
      </c>
      <c r="L5" s="20" t="s">
        <v>12</v>
      </c>
      <c r="M5">
        <f>SUM(K4:K6)</f>
        <v>11.454545454545455</v>
      </c>
      <c r="N5" s="25" t="s">
        <v>13</v>
      </c>
      <c r="O5">
        <f t="shared" ref="O5:O6" si="1">M5/$M$7</f>
        <v>0.33245382585751998</v>
      </c>
    </row>
    <row r="6" spans="1:15" ht="16.5" thickBot="1" x14ac:dyDescent="0.3">
      <c r="A6" s="10">
        <v>3</v>
      </c>
      <c r="B6" s="11">
        <v>0.03</v>
      </c>
      <c r="C6" s="12">
        <v>0.02</v>
      </c>
      <c r="D6" s="13">
        <v>-0.01</v>
      </c>
      <c r="E6" s="14">
        <v>0.02</v>
      </c>
      <c r="F6" s="34">
        <v>-13.636363636363635</v>
      </c>
      <c r="G6" s="34">
        <v>9.0909090909090935</v>
      </c>
      <c r="H6" s="34">
        <v>68.181818181818187</v>
      </c>
      <c r="I6" s="20">
        <v>1</v>
      </c>
      <c r="J6" s="23">
        <f t="shared" si="0"/>
        <v>63.636363636363647</v>
      </c>
      <c r="K6" s="24">
        <v>1.2727272727272732</v>
      </c>
      <c r="L6" s="18" t="s">
        <v>14</v>
      </c>
      <c r="M6">
        <f t="array" ref="M6">MMULT(TRANSPOSE(B4:B6),K4:K6)</f>
        <v>0.95909090909090911</v>
      </c>
      <c r="N6" s="20" t="s">
        <v>15</v>
      </c>
      <c r="O6">
        <f t="shared" si="1"/>
        <v>2.7836411609498693E-2</v>
      </c>
    </row>
    <row r="7" spans="1:15" x14ac:dyDescent="0.25">
      <c r="L7" s="26" t="s">
        <v>16</v>
      </c>
      <c r="M7">
        <f>M6*M4-M5^2</f>
        <v>34.454545454545439</v>
      </c>
    </row>
    <row r="9" spans="1:15" ht="18.75" x14ac:dyDescent="0.3">
      <c r="A9" s="61"/>
      <c r="B9" s="19" t="s">
        <v>83</v>
      </c>
    </row>
    <row r="10" spans="1:15" x14ac:dyDescent="0.25">
      <c r="B10" s="62" t="s">
        <v>2</v>
      </c>
      <c r="C10" s="62"/>
      <c r="D10" s="62" t="s">
        <v>3</v>
      </c>
      <c r="E10" s="62"/>
      <c r="F10" s="15"/>
      <c r="G10" s="15" t="s">
        <v>5</v>
      </c>
      <c r="H10" s="15"/>
      <c r="I10" s="72" t="s">
        <v>4</v>
      </c>
      <c r="J10" s="15" t="s">
        <v>80</v>
      </c>
      <c r="K10" s="15" t="s">
        <v>81</v>
      </c>
      <c r="N10" s="30" t="s">
        <v>75</v>
      </c>
    </row>
    <row r="11" spans="1:15" x14ac:dyDescent="0.25">
      <c r="A11" t="s">
        <v>58</v>
      </c>
      <c r="B11" s="23">
        <f>B4</f>
        <v>0.11</v>
      </c>
      <c r="C11" s="44">
        <f>C4</f>
        <v>0.08</v>
      </c>
      <c r="D11" s="44">
        <f t="shared" ref="D11:E11" si="2">D4</f>
        <v>-0.03</v>
      </c>
      <c r="E11" s="44">
        <f t="shared" si="2"/>
        <v>0.02</v>
      </c>
      <c r="F11" s="63">
        <f t="array" ref="F11:H13">MINVERSE(C11:E13)</f>
        <v>22.727272727272727</v>
      </c>
      <c r="G11" s="63">
        <v>18.18181818181818</v>
      </c>
      <c r="H11" s="63">
        <v>-13.636363636363635</v>
      </c>
      <c r="I11" s="73">
        <v>1</v>
      </c>
      <c r="J11" s="64">
        <f>B11-$B$14</f>
        <v>0.1</v>
      </c>
      <c r="K11" s="28" cm="1">
        <f t="array" ref="K11:K13">MMULT(F11:H13,J11:J13)</f>
        <v>3.2727272727272734</v>
      </c>
      <c r="L11" s="20" t="s">
        <v>73</v>
      </c>
      <c r="M11" s="33">
        <f t="array" ref="M11">MMULT(TRANSPOSE(J11:J13),K11:K13)</f>
        <v>0.74727272727272742</v>
      </c>
      <c r="N11" s="47">
        <f>K11/$M$11</f>
        <v>4.3795620437956204</v>
      </c>
    </row>
    <row r="12" spans="1:15" x14ac:dyDescent="0.25">
      <c r="A12" t="s">
        <v>59</v>
      </c>
      <c r="B12" s="23">
        <f t="shared" ref="B12:E13" si="3">B5</f>
        <v>0.08</v>
      </c>
      <c r="C12" s="44">
        <f t="shared" si="3"/>
        <v>-0.03</v>
      </c>
      <c r="D12" s="44">
        <f t="shared" si="3"/>
        <v>0.03</v>
      </c>
      <c r="E12" s="44">
        <f t="shared" si="3"/>
        <v>-0.01</v>
      </c>
      <c r="F12" s="63">
        <v>18.18181818181818</v>
      </c>
      <c r="G12" s="63">
        <v>54.545454545454547</v>
      </c>
      <c r="H12" s="63">
        <v>9.0909090909090935</v>
      </c>
      <c r="I12" s="73">
        <v>1</v>
      </c>
      <c r="J12" s="64">
        <f t="shared" ref="J12:J13" si="4">B12-$B$14</f>
        <v>7.0000000000000007E-2</v>
      </c>
      <c r="K12" s="28">
        <v>5.8181818181818183</v>
      </c>
      <c r="L12" s="20" t="s">
        <v>104</v>
      </c>
      <c r="M12" s="28">
        <f>1/M11</f>
        <v>1.3381995133819948</v>
      </c>
      <c r="N12" s="47">
        <f t="shared" ref="N12:N13" si="5">K12/$M$11</f>
        <v>7.7858880778588793</v>
      </c>
    </row>
    <row r="13" spans="1:15" x14ac:dyDescent="0.25">
      <c r="A13" t="s">
        <v>60</v>
      </c>
      <c r="B13" s="23">
        <f t="shared" si="3"/>
        <v>0.03</v>
      </c>
      <c r="C13" s="44">
        <f t="shared" si="3"/>
        <v>0.02</v>
      </c>
      <c r="D13" s="44">
        <f t="shared" si="3"/>
        <v>-0.01</v>
      </c>
      <c r="E13" s="44">
        <f t="shared" si="3"/>
        <v>0.02</v>
      </c>
      <c r="F13" s="63">
        <v>-13.636363636363635</v>
      </c>
      <c r="G13" s="63">
        <v>9.0909090909090935</v>
      </c>
      <c r="H13" s="63">
        <v>68.181818181818187</v>
      </c>
      <c r="I13" s="73">
        <v>1</v>
      </c>
      <c r="J13" s="64">
        <f t="shared" si="4"/>
        <v>1.9999999999999997E-2</v>
      </c>
      <c r="K13" s="28">
        <v>0.63636363636363658</v>
      </c>
      <c r="L13" s="20" t="s">
        <v>82</v>
      </c>
      <c r="M13" s="71">
        <f>SQRT(M11)</f>
        <v>0.86444937808568489</v>
      </c>
      <c r="N13" s="47">
        <f t="shared" si="5"/>
        <v>0.85158150851581516</v>
      </c>
    </row>
    <row r="14" spans="1:15" x14ac:dyDescent="0.25">
      <c r="A14" s="70" t="s">
        <v>79</v>
      </c>
      <c r="B14" s="70">
        <v>0.01</v>
      </c>
      <c r="J14" s="15" t="s">
        <v>90</v>
      </c>
      <c r="K14" s="28">
        <f>SUM(K11:K13)</f>
        <v>9.7272727272727284</v>
      </c>
      <c r="L14" s="20"/>
      <c r="M14" s="28"/>
    </row>
    <row r="16" spans="1:15" x14ac:dyDescent="0.25">
      <c r="B16" s="15" t="s">
        <v>110</v>
      </c>
    </row>
    <row r="17" spans="1:6" x14ac:dyDescent="0.25">
      <c r="B17" s="74" t="s">
        <v>22</v>
      </c>
      <c r="C17" s="74" t="s">
        <v>22</v>
      </c>
      <c r="D17" s="74" t="s">
        <v>92</v>
      </c>
      <c r="E17" s="30" t="s">
        <v>94</v>
      </c>
      <c r="F17" s="74" t="s">
        <v>105</v>
      </c>
    </row>
    <row r="18" spans="1:6" x14ac:dyDescent="0.25">
      <c r="B18" s="75">
        <v>0</v>
      </c>
      <c r="C18" s="75">
        <v>0.02</v>
      </c>
      <c r="D18" s="81">
        <v>0.03</v>
      </c>
      <c r="E18" s="66">
        <f>E29</f>
        <v>8.682242990654207E-2</v>
      </c>
      <c r="F18" s="76">
        <v>0.2</v>
      </c>
    </row>
    <row r="19" spans="1:6" x14ac:dyDescent="0.25">
      <c r="B19" s="74" t="s">
        <v>86</v>
      </c>
      <c r="C19" s="74" t="s">
        <v>86</v>
      </c>
      <c r="D19" s="82" t="s">
        <v>86</v>
      </c>
      <c r="E19" s="30" t="s">
        <v>93</v>
      </c>
      <c r="F19" s="74" t="s">
        <v>86</v>
      </c>
    </row>
    <row r="20" spans="1:6" x14ac:dyDescent="0.25">
      <c r="B20" s="75">
        <f>B18-$B$14</f>
        <v>-0.01</v>
      </c>
      <c r="C20" s="75">
        <f>C18-$B$14</f>
        <v>0.01</v>
      </c>
      <c r="D20" s="81">
        <f>D18-$B$14</f>
        <v>1.9999999999999997E-2</v>
      </c>
      <c r="E20" s="66">
        <f>E28</f>
        <v>7.6822429906542075E-2</v>
      </c>
      <c r="F20" s="76">
        <f>F18-$B$14</f>
        <v>0.19</v>
      </c>
    </row>
    <row r="21" spans="1:6" x14ac:dyDescent="0.25">
      <c r="B21" s="74" t="s">
        <v>87</v>
      </c>
      <c r="C21" s="74" t="s">
        <v>87</v>
      </c>
      <c r="D21" s="74" t="s">
        <v>87</v>
      </c>
      <c r="E21" s="30" t="s">
        <v>91</v>
      </c>
      <c r="F21" s="74" t="s">
        <v>87</v>
      </c>
    </row>
    <row r="22" spans="1:6" x14ac:dyDescent="0.25">
      <c r="A22" s="15" t="s">
        <v>17</v>
      </c>
      <c r="B22" s="77">
        <f>$N$11*B$20</f>
        <v>-4.3795620437956206E-2</v>
      </c>
      <c r="C22" s="77">
        <f>$N$11*C$20</f>
        <v>4.3795620437956206E-2</v>
      </c>
      <c r="D22" s="78">
        <f>$N$11*D$20</f>
        <v>8.7591240875912399E-2</v>
      </c>
      <c r="E22">
        <f>K11/$K$14</f>
        <v>0.33644859813084116</v>
      </c>
      <c r="F22" s="78">
        <f>$N$11*F$20</f>
        <v>0.83211678832116787</v>
      </c>
    </row>
    <row r="23" spans="1:6" x14ac:dyDescent="0.25">
      <c r="A23" s="15" t="s">
        <v>18</v>
      </c>
      <c r="B23" s="77">
        <f>$N$12*B$20</f>
        <v>-7.7858880778588796E-2</v>
      </c>
      <c r="C23" s="77">
        <f>$N$12*C$20</f>
        <v>7.7858880778588796E-2</v>
      </c>
      <c r="D23" s="78">
        <f>$N$12*D$20</f>
        <v>0.15571776155717756</v>
      </c>
      <c r="E23">
        <f t="shared" ref="E23:E24" si="6">K12/$K$14</f>
        <v>0.59813084112149528</v>
      </c>
      <c r="F23" s="78">
        <f>$N$12*F$20</f>
        <v>1.4793187347931871</v>
      </c>
    </row>
    <row r="24" spans="1:6" x14ac:dyDescent="0.25">
      <c r="A24" s="15" t="s">
        <v>19</v>
      </c>
      <c r="B24" s="77">
        <f>$N$13*B$20</f>
        <v>-8.5158150851581526E-3</v>
      </c>
      <c r="C24" s="77">
        <f>$N$13*C$20</f>
        <v>8.5158150851581526E-3</v>
      </c>
      <c r="D24" s="78">
        <f>$N$13*D$20</f>
        <v>1.7031630170316302E-2</v>
      </c>
      <c r="E24">
        <f t="shared" si="6"/>
        <v>6.5420560747663559E-2</v>
      </c>
      <c r="F24" s="78">
        <f>$N$13*F$20</f>
        <v>0.16180048661800489</v>
      </c>
    </row>
    <row r="25" spans="1:6" x14ac:dyDescent="0.25">
      <c r="A25" s="15" t="s">
        <v>88</v>
      </c>
      <c r="B25" s="79">
        <f>SUM(B22:B24)</f>
        <v>-0.13017031630170314</v>
      </c>
      <c r="C25" s="79">
        <f>SUM(C22:C24)</f>
        <v>0.13017031630170314</v>
      </c>
      <c r="D25" s="79">
        <f>SUM(D22:D24)</f>
        <v>0.26034063260340623</v>
      </c>
      <c r="E25">
        <f>K14/$K$14</f>
        <v>1</v>
      </c>
      <c r="F25" s="79">
        <f>SUM(F22:F24)</f>
        <v>2.4732360097323598</v>
      </c>
    </row>
    <row r="26" spans="1:6" x14ac:dyDescent="0.25">
      <c r="A26" s="15" t="s">
        <v>89</v>
      </c>
      <c r="B26" s="79">
        <f>1-SUM(B22:B24)</f>
        <v>1.1301703163017032</v>
      </c>
      <c r="C26" s="79">
        <f>1-SUM(C22:C24)</f>
        <v>0.86982968369829683</v>
      </c>
      <c r="D26" s="79">
        <f>1-SUM(D22:D24)</f>
        <v>0.73965936739659377</v>
      </c>
      <c r="E26" s="29">
        <f>1-SUM(E22:E24)</f>
        <v>0</v>
      </c>
      <c r="F26" s="79">
        <f>1-SUM(F22:F24)</f>
        <v>-1.4732360097323598</v>
      </c>
    </row>
    <row r="27" spans="1:6" x14ac:dyDescent="0.25">
      <c r="A27" s="15"/>
      <c r="B27" s="75">
        <f>SUM(B25:B26)</f>
        <v>1</v>
      </c>
      <c r="C27" s="75">
        <f>SUM(C25:C26)</f>
        <v>1</v>
      </c>
      <c r="D27" s="75">
        <f>SUM(D25:D26)</f>
        <v>1</v>
      </c>
      <c r="E27">
        <f>SUM(E25:E26)</f>
        <v>1</v>
      </c>
      <c r="F27" s="75">
        <f>SUM(F25:F26)</f>
        <v>1</v>
      </c>
    </row>
    <row r="28" spans="1:6" x14ac:dyDescent="0.25">
      <c r="A28" s="15" t="s">
        <v>95</v>
      </c>
      <c r="B28" s="75">
        <f t="array" ref="B28">MMULT(TRANSPOSE(B22:B24),$J$11:$J$13)</f>
        <v>-9.9999999999999985E-3</v>
      </c>
      <c r="C28" s="75">
        <f t="array" ref="C28">MMULT(TRANSPOSE(C22:C24),$J$11:$J$13)</f>
        <v>9.9999999999999985E-3</v>
      </c>
      <c r="D28" s="75">
        <f t="array" ref="D28">MMULT(TRANSPOSE(D22:D24),$J$11:$J$13)</f>
        <v>1.9999999999999997E-2</v>
      </c>
      <c r="E28" s="17">
        <f t="array" ref="E28">MMULT(TRANSPOSE(E22:E24),$J$11:$J$13)</f>
        <v>7.6822429906542075E-2</v>
      </c>
      <c r="F28" s="75">
        <f t="array" ref="F28">MMULT(TRANSPOSE(F22:F24),$J$11:$J$13)</f>
        <v>0.19</v>
      </c>
    </row>
    <row r="29" spans="1:6" x14ac:dyDescent="0.25">
      <c r="A29" s="15" t="s">
        <v>22</v>
      </c>
      <c r="B29" s="75">
        <f>B28+$B$14</f>
        <v>0</v>
      </c>
      <c r="C29" s="75">
        <f t="shared" ref="C29:F29" si="7">C28+$B$14</f>
        <v>1.9999999999999997E-2</v>
      </c>
      <c r="D29" s="75">
        <f t="shared" si="7"/>
        <v>0.03</v>
      </c>
      <c r="E29" s="17">
        <f t="shared" si="7"/>
        <v>8.682242990654207E-2</v>
      </c>
      <c r="F29" s="75">
        <f t="shared" si="7"/>
        <v>0.2</v>
      </c>
    </row>
    <row r="30" spans="1:6" x14ac:dyDescent="0.25">
      <c r="A30" s="15" t="s">
        <v>23</v>
      </c>
      <c r="B30" s="80">
        <f t="array" ref="B30">MMULT(TRANSPOSE(B22:B24), MMULT($C$11:$E$13,B22:B24))</f>
        <v>1.3381995133819949E-4</v>
      </c>
      <c r="C30" s="80">
        <f t="array" ref="C30">MMULT(TRANSPOSE(C22:C24), MMULT($C$11:$E$13,C22:C24))</f>
        <v>1.3381995133819949E-4</v>
      </c>
      <c r="D30" s="80">
        <f t="array" ref="D30">MMULT(TRANSPOSE(D22:D24), MMULT($C$11:$E$13,D22:D24))</f>
        <v>5.3527980535279785E-4</v>
      </c>
      <c r="E30" s="17">
        <f t="array" ref="E30">MMULT(TRANSPOSE(E22:E24), MMULT($C$11:$E$13,E22:E24))</f>
        <v>7.8976329810463795E-3</v>
      </c>
      <c r="F30" s="80">
        <f t="array" ref="F30">MMULT(TRANSPOSE(F22:F24), MMULT($C$11:$E$13,F22:F24))</f>
        <v>4.8309002433090012E-2</v>
      </c>
    </row>
    <row r="31" spans="1:6" x14ac:dyDescent="0.25">
      <c r="A31" s="15" t="s">
        <v>21</v>
      </c>
      <c r="B31" s="80">
        <f>SQRT(B30)</f>
        <v>1.1568057370976317E-2</v>
      </c>
      <c r="C31" s="80">
        <f t="shared" ref="C31:F31" si="8">SQRT(C30)</f>
        <v>1.1568057370976317E-2</v>
      </c>
      <c r="D31" s="80">
        <f t="shared" si="8"/>
        <v>2.3136114741952631E-2</v>
      </c>
      <c r="E31" s="17">
        <f t="shared" si="8"/>
        <v>8.8868627653668528E-2</v>
      </c>
      <c r="F31" s="80">
        <f t="shared" si="8"/>
        <v>0.21979309004854999</v>
      </c>
    </row>
    <row r="33" spans="1:5" x14ac:dyDescent="0.25">
      <c r="A33" s="15" t="s">
        <v>99</v>
      </c>
      <c r="E33" s="30" t="s">
        <v>96</v>
      </c>
    </row>
    <row r="34" spans="1:5" x14ac:dyDescent="0.25">
      <c r="C34" s="15"/>
      <c r="D34" s="15" t="s">
        <v>8</v>
      </c>
      <c r="E34" s="28">
        <f>(M4*B14-M5)/M7</f>
        <v>-0.28232189973614785</v>
      </c>
    </row>
    <row r="35" spans="1:5" x14ac:dyDescent="0.25">
      <c r="C35" s="15"/>
      <c r="D35" s="15" t="s">
        <v>97</v>
      </c>
      <c r="E35" s="28">
        <f>(-M5*B14+M6)/M7</f>
        <v>2.4511873350923495E-2</v>
      </c>
    </row>
    <row r="36" spans="1:5" x14ac:dyDescent="0.25">
      <c r="E36" s="30" t="s">
        <v>98</v>
      </c>
    </row>
    <row r="37" spans="1:5" x14ac:dyDescent="0.25">
      <c r="C37" s="15"/>
      <c r="D37" s="15" t="s">
        <v>107</v>
      </c>
      <c r="E37" s="28">
        <f t="array" ref="E37:E39">E34*K4:K6+E35*J4:J6</f>
        <v>-0.3324538258575197</v>
      </c>
    </row>
    <row r="38" spans="1:5" x14ac:dyDescent="0.25">
      <c r="C38" s="15"/>
      <c r="D38" s="15" t="s">
        <v>108</v>
      </c>
      <c r="E38" s="28">
        <v>0.13192612137203152</v>
      </c>
    </row>
    <row r="39" spans="1:5" x14ac:dyDescent="0.25">
      <c r="C39" s="15"/>
      <c r="D39" s="15" t="s">
        <v>109</v>
      </c>
      <c r="E39" s="28">
        <v>1.200527704485489</v>
      </c>
    </row>
    <row r="40" spans="1:5" x14ac:dyDescent="0.25">
      <c r="E40">
        <f>SUM(E37:E39)</f>
        <v>1.0000000000000009</v>
      </c>
    </row>
    <row r="41" spans="1:5" x14ac:dyDescent="0.25">
      <c r="D41" s="20" t="s">
        <v>39</v>
      </c>
      <c r="E41">
        <f t="array" ref="E41">MMULT(TRANSPOSE(E37:E39),B11:B13)</f>
        <v>1.0000000000000023E-2</v>
      </c>
    </row>
    <row r="42" spans="1:5" x14ac:dyDescent="0.25">
      <c r="D42" s="20" t="s">
        <v>40</v>
      </c>
      <c r="E42" s="29">
        <f>E34*E41+E35</f>
        <v>2.1688654353562011E-2</v>
      </c>
    </row>
    <row r="43" spans="1:5" x14ac:dyDescent="0.25">
      <c r="D43" s="20" t="s">
        <v>41</v>
      </c>
      <c r="E43" s="29">
        <f>SQRT(E42)</f>
        <v>0.14727068395835613</v>
      </c>
    </row>
    <row r="45" spans="1:5" ht="15.75" x14ac:dyDescent="0.25">
      <c r="A45" s="83" t="s">
        <v>111</v>
      </c>
    </row>
    <row r="46" spans="1:5" x14ac:dyDescent="0.25">
      <c r="B46" t="s">
        <v>22</v>
      </c>
      <c r="C46" t="s">
        <v>105</v>
      </c>
    </row>
    <row r="47" spans="1:5" x14ac:dyDescent="0.25">
      <c r="B47">
        <v>0.06</v>
      </c>
      <c r="C47">
        <v>0.15</v>
      </c>
    </row>
    <row r="48" spans="1:5" x14ac:dyDescent="0.25">
      <c r="B48" t="s">
        <v>113</v>
      </c>
      <c r="C48" t="s">
        <v>64</v>
      </c>
    </row>
    <row r="49" spans="1:3" x14ac:dyDescent="0.25">
      <c r="A49" t="s">
        <v>64</v>
      </c>
      <c r="B49" s="84">
        <f>(B47-$B$14)/($E$18-$B$14)</f>
        <v>0.65085158150851563</v>
      </c>
      <c r="C49" s="84">
        <f>(C47-$B$14)/($E$18-$B$14)</f>
        <v>1.8223844282238437</v>
      </c>
    </row>
    <row r="50" spans="1:3" x14ac:dyDescent="0.25">
      <c r="A50" t="s">
        <v>112</v>
      </c>
      <c r="B50" s="84">
        <f>(1-B49)</f>
        <v>0.34914841849148437</v>
      </c>
      <c r="C50" s="84">
        <f>(1-C49)</f>
        <v>-0.82238442822384372</v>
      </c>
    </row>
    <row r="51" spans="1:3" x14ac:dyDescent="0.25">
      <c r="B51" s="17">
        <f>SUM(B49:B50)</f>
        <v>1</v>
      </c>
      <c r="C51" s="17">
        <f>SUM(C49:C50)</f>
        <v>1</v>
      </c>
    </row>
    <row r="52" spans="1:3" x14ac:dyDescent="0.25">
      <c r="A52" t="s">
        <v>22</v>
      </c>
      <c r="B52">
        <f>B49*E18+B50*B14</f>
        <v>0.06</v>
      </c>
    </row>
  </sheetData>
  <mergeCells count="1">
    <mergeCell ref="C3:E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5</vt:i4>
      </vt:variant>
    </vt:vector>
  </HeadingPairs>
  <TitlesOfParts>
    <vt:vector size="5" baseType="lpstr">
      <vt:lpstr>Problema_2</vt:lpstr>
      <vt:lpstr>Problema_3</vt:lpstr>
      <vt:lpstr>Problema_4</vt:lpstr>
      <vt:lpstr>Problema_5</vt:lpstr>
      <vt:lpstr>Problema_6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alumno</dc:creator>
  <cp:keywords/>
  <dc:description/>
  <cp:lastModifiedBy>alumno</cp:lastModifiedBy>
  <cp:revision/>
  <dcterms:created xsi:type="dcterms:W3CDTF">2021-11-02T12:04:52Z</dcterms:created>
  <dcterms:modified xsi:type="dcterms:W3CDTF">2021-11-16T13:33:08Z</dcterms:modified>
  <cp:category/>
  <cp:contentStatus/>
</cp:coreProperties>
</file>